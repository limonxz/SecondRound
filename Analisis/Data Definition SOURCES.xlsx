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8250"/>
  </bookViews>
  <sheets>
    <sheet name="NX-AUTO" sheetId="1" r:id="rId1"/>
    <sheet name="MODELOS (excel)" sheetId="2" r:id="rId2"/>
    <sheet name="Configuration APP" sheetId="3" r:id="rId3"/>
    <sheet name="Label Definition" sheetId="4" r:id="rId4"/>
    <sheet name="Conversion" sheetId="5" r:id="rId5"/>
    <sheet name="ModulesMVC" sheetId="6" r:id="rId6"/>
    <sheet name="Logging" sheetId="7" r:id="rId7"/>
    <sheet name="Unicode" sheetId="8" r:id="rId8"/>
    <sheet name="Notas" sheetId="9" r:id="rId9"/>
  </sheets>
  <calcPr calcId="145621"/>
</workbook>
</file>

<file path=xl/calcChain.xml><?xml version="1.0" encoding="utf-8"?>
<calcChain xmlns="http://schemas.openxmlformats.org/spreadsheetml/2006/main">
  <c r="I8" i="5" l="1"/>
  <c r="I7" i="5"/>
  <c r="O3" i="8" l="1"/>
  <c r="O2" i="8"/>
  <c r="I3" i="8"/>
  <c r="I2" i="8"/>
  <c r="U36" i="5" l="1"/>
  <c r="P36" i="5"/>
  <c r="O36" i="5"/>
  <c r="Q36" i="5" s="1"/>
  <c r="R36" i="5" s="1"/>
  <c r="P37" i="5"/>
  <c r="O37" i="5"/>
  <c r="Q37" i="5" s="1"/>
  <c r="R37" i="5" s="1"/>
  <c r="P38" i="5"/>
  <c r="Q38" i="5" s="1"/>
  <c r="R38" i="5" s="1"/>
  <c r="O38" i="5"/>
  <c r="U38" i="5"/>
  <c r="S44" i="5" l="1"/>
  <c r="R48" i="5"/>
  <c r="O48" i="5"/>
  <c r="R44" i="5"/>
  <c r="Q44" i="5"/>
  <c r="O44" i="5"/>
  <c r="R42" i="5"/>
  <c r="P42" i="5"/>
  <c r="K41" i="5"/>
  <c r="H41" i="5"/>
  <c r="M42" i="5"/>
  <c r="J42" i="5"/>
  <c r="L46" i="5"/>
  <c r="L45" i="5"/>
  <c r="I44" i="5"/>
  <c r="H44" i="5"/>
  <c r="M43" i="5"/>
  <c r="J43" i="5"/>
  <c r="G17" i="5"/>
  <c r="K4" i="5"/>
  <c r="K3" i="5"/>
  <c r="J4" i="5"/>
  <c r="J3" i="5"/>
  <c r="H4" i="5"/>
  <c r="H3" i="5"/>
  <c r="L44" i="5" l="1"/>
  <c r="D9" i="3"/>
  <c r="D8" i="3"/>
  <c r="D7" i="3"/>
  <c r="D6" i="3"/>
  <c r="O23" i="2" l="1"/>
  <c r="O22" i="2"/>
  <c r="O21" i="2"/>
  <c r="M2" i="2"/>
  <c r="W2" i="2"/>
  <c r="V2" i="2"/>
  <c r="U2" i="2"/>
  <c r="T2" i="2"/>
  <c r="S2" i="2"/>
  <c r="R2" i="2"/>
  <c r="Q2" i="2"/>
  <c r="P2" i="2"/>
  <c r="O2" i="2"/>
  <c r="N2" i="2"/>
</calcChain>
</file>

<file path=xl/comments1.xml><?xml version="1.0" encoding="utf-8"?>
<comments xmlns="http://schemas.openxmlformats.org/spreadsheetml/2006/main">
  <authors>
    <author>Jose Guillermo Gomez Arellano</author>
  </authors>
  <commentList>
    <comment ref="E36" authorId="0">
      <text>
        <r>
          <rPr>
            <b/>
            <sz val="9"/>
            <color indexed="81"/>
            <rFont val="Tahoma"/>
            <family val="2"/>
          </rPr>
          <t xml:space="preserve"> CompositePresentationEvent&lt;object&gt;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<sst xmlns="http://schemas.openxmlformats.org/spreadsheetml/2006/main" count="539" uniqueCount="378">
  <si>
    <t xml:space="preserve">NX-Auto </t>
  </si>
  <si>
    <t>Data Stream (TCP/IP) --&gt; RS232</t>
  </si>
  <si>
    <t>STX</t>
  </si>
  <si>
    <t>Length</t>
  </si>
  <si>
    <t>Type</t>
  </si>
  <si>
    <t>Value</t>
  </si>
  <si>
    <t>I</t>
  </si>
  <si>
    <t>N</t>
  </si>
  <si>
    <t>Name</t>
  </si>
  <si>
    <t>M YEAR</t>
  </si>
  <si>
    <t>A</t>
  </si>
  <si>
    <t>?</t>
  </si>
  <si>
    <t>CAR SERIES</t>
  </si>
  <si>
    <t>CHASSIS NO</t>
  </si>
  <si>
    <t>PREFIX</t>
  </si>
  <si>
    <t>BASE</t>
  </si>
  <si>
    <t>SUFFIX</t>
  </si>
  <si>
    <t>DEST</t>
  </si>
  <si>
    <t>C EXT</t>
  </si>
  <si>
    <t>C INT</t>
  </si>
  <si>
    <t>YY</t>
  </si>
  <si>
    <t>MM</t>
  </si>
  <si>
    <t>DD</t>
  </si>
  <si>
    <t>DUE DATE PES OUT</t>
  </si>
  <si>
    <t>SHIFT</t>
  </si>
  <si>
    <t>SPARE</t>
  </si>
  <si>
    <t>CHASSIS TYPE</t>
  </si>
  <si>
    <t>VIN NO INFORMATION</t>
  </si>
  <si>
    <t>LINE</t>
  </si>
  <si>
    <t>PLAN NO</t>
  </si>
  <si>
    <t>TRIM SEQ</t>
  </si>
  <si>
    <t>EX NO</t>
  </si>
  <si>
    <t>ENG TYPE</t>
  </si>
  <si>
    <t>EC TYPE</t>
  </si>
  <si>
    <t>EG CODE</t>
  </si>
  <si>
    <t>ENG NO</t>
  </si>
  <si>
    <t>ENG PLAN</t>
  </si>
  <si>
    <t>ETX</t>
  </si>
  <si>
    <t>byear</t>
  </si>
  <si>
    <t>bmodelo</t>
  </si>
  <si>
    <t>brr</t>
  </si>
  <si>
    <t>btrans</t>
  </si>
  <si>
    <t>baxle</t>
  </si>
  <si>
    <t>bengine</t>
  </si>
  <si>
    <t>btt</t>
  </si>
  <si>
    <t>be</t>
  </si>
  <si>
    <t>MR20DE 1997 CC</t>
  </si>
  <si>
    <t>RE0F10A</t>
  </si>
  <si>
    <t>GB54</t>
  </si>
  <si>
    <t>orden</t>
  </si>
  <si>
    <t>1 / 2</t>
  </si>
  <si>
    <t>BDRALVZB16EHA%</t>
  </si>
  <si>
    <t>1778 KG</t>
  </si>
  <si>
    <t>1010 KG</t>
  </si>
  <si>
    <t>821 KG</t>
  </si>
  <si>
    <t>H</t>
  </si>
  <si>
    <t>BCAB16</t>
  </si>
  <si>
    <t>bagwr</t>
  </si>
  <si>
    <t>7~10</t>
  </si>
  <si>
    <t>BDRALVZB16EHA%___N_</t>
  </si>
  <si>
    <t>tipo</t>
  </si>
  <si>
    <t>null/optional</t>
  </si>
  <si>
    <t>?? (type / length)</t>
  </si>
  <si>
    <t>Datos</t>
  </si>
  <si>
    <t>longitud</t>
  </si>
  <si>
    <t>ITEM MODEL A(18)</t>
  </si>
  <si>
    <t>CONTROL KEY A(11)</t>
  </si>
  <si>
    <t>Prefix</t>
  </si>
  <si>
    <t xml:space="preserve">Base </t>
  </si>
  <si>
    <t>Suffix</t>
  </si>
  <si>
    <t>ENA___N_</t>
  </si>
  <si>
    <t>other</t>
  </si>
  <si>
    <t>C11</t>
  </si>
  <si>
    <t>14~18~20</t>
  </si>
  <si>
    <t>Configuration Resources</t>
  </si>
  <si>
    <t>(Save them in XML format or Registry Values)</t>
  </si>
  <si>
    <t>LabelDPI</t>
  </si>
  <si>
    <t>200 /300</t>
  </si>
  <si>
    <t>Description</t>
  </si>
  <si>
    <t>Units</t>
  </si>
  <si>
    <t>DPI</t>
  </si>
  <si>
    <t>LabelWidth</t>
  </si>
  <si>
    <t>LabelHeight</t>
  </si>
  <si>
    <t>mm</t>
  </si>
  <si>
    <t>PrintWidth</t>
  </si>
  <si>
    <t>PrintHeight</t>
  </si>
  <si>
    <t>Country1</t>
  </si>
  <si>
    <t>USA</t>
  </si>
  <si>
    <t>Country2</t>
  </si>
  <si>
    <t>Country3</t>
  </si>
  <si>
    <t>Canada</t>
  </si>
  <si>
    <t>Israel</t>
  </si>
  <si>
    <t>&lt;?xml version="1.0" encoding="utf-8"?&gt;
&lt;CertLabel Version="1.0" Width="4" Height="3" GapLength="0" MarkLength="0" OffsetLength="0" UnitType="Inch" LabelsPerRow="1" LabelsHorizontalGapLength="0" IsContinuous="False"&gt;</t>
  </si>
  <si>
    <t>Label Header</t>
  </si>
  <si>
    <t xml:space="preserve">XML </t>
  </si>
  <si>
    <t>&lt;?xml version="1.0" encoding="utf-8"?&gt;</t>
  </si>
  <si>
    <t>Entity</t>
  </si>
  <si>
    <t>Attribute</t>
  </si>
  <si>
    <t>CertLabel</t>
  </si>
  <si>
    <t>Version</t>
  </si>
  <si>
    <t>"1.0"</t>
  </si>
  <si>
    <t>Width</t>
  </si>
  <si>
    <t>Height</t>
  </si>
  <si>
    <t>UnitType</t>
  </si>
  <si>
    <t>Inch/mm</t>
  </si>
  <si>
    <t>Rectangle</t>
  </si>
  <si>
    <t>X</t>
  </si>
  <si>
    <t>Y</t>
  </si>
  <si>
    <t>mm/inch</t>
  </si>
  <si>
    <t>Tag</t>
  </si>
  <si>
    <t>Line</t>
  </si>
  <si>
    <t>"Identify" / Optional</t>
  </si>
  <si>
    <t>Text</t>
  </si>
  <si>
    <t>DataField</t>
  </si>
  <si>
    <t>(Data Association)</t>
  </si>
  <si>
    <t>(Fixed Text)</t>
  </si>
  <si>
    <t>Font</t>
  </si>
  <si>
    <t>(FontName,Size,Italic,Bold,Underline)</t>
  </si>
  <si>
    <t>BarCode</t>
  </si>
  <si>
    <t>Symbology</t>
  </si>
  <si>
    <t>TextFont</t>
  </si>
  <si>
    <t>BarcodeAlignment</t>
  </si>
  <si>
    <t>MiddleCenter/Left/Right</t>
  </si>
  <si>
    <t>Image</t>
  </si>
  <si>
    <t>Source</t>
  </si>
  <si>
    <t>File/Printer</t>
  </si>
  <si>
    <t xml:space="preserve"> &lt;Text Name="" X="0.1198" Y="1.401" DataField="" DataFieldFormatString="" CacheItemId="" Comments="" Tag="" Width="1.3333" Height="0.1875" Text="Serial_x005F_x0020_Number" Font="NativePrinterFontA,10,Point,,,False,90" /&gt;</t>
  </si>
  <si>
    <t>&lt;Line Name="" X="1.9427" Y="1.349" DataField="" DataFieldFormatString="" CacheItemId="" Comments="" Tag="" Width="0.01" Height="0.9167" Orientation="Vertical" /&gt;</t>
  </si>
  <si>
    <t>&lt;Rectangle Name="" X="0.0052" Y="1.349" DataField="" DataFieldFormatString="" CacheItemId="" Comments="" Tag="" Width="3.9792" Height="0.8854" /&gt;</t>
  </si>
  <si>
    <t>&lt;BarCode Name="" X="2.099" Y="1.474" DataField="" DataFieldFormatString="" CacheItemId="" Comments="" Tag="" Width="1.6354" Height="0.625" Symbology="Code39" Code="_x005F_x0038_4012512" AddChecksum="False" AztecCodeModuleSize="0" BarcodeAlignment="MiddleCenter" DataMatrixModuleSize="0" Font="NativePrinterFontA,5,Point,,,False,90" QRCodeModuleSize="0" TextFont="NativePrinterFontA,10,Point,,,False,90" /&gt;</t>
  </si>
  <si>
    <t xml:space="preserve"> &lt;Image Name="" X="2.4427" Y="0.1823" DataField="" DataFieldFormatString="" CacheItemId="" Comments="" Tag="" Width="0.8854" Height="1.0208" Source="File" SourceData="C:\Users\joseg.gomez\Pictures\logos\first.bmp" MonochromeSettings="OtsuThreshold,50,False" /&gt;</t>
  </si>
  <si>
    <t>?? (possible association FORM)</t>
  </si>
  <si>
    <t>LABEL XML Definition and Attributes (Designer and Printer)</t>
  </si>
  <si>
    <t>Code39/EAN13/Code128</t>
  </si>
  <si>
    <t>BarHeight</t>
  </si>
  <si>
    <t>BarWidht</t>
  </si>
  <si>
    <t>Heigth</t>
  </si>
  <si>
    <t>inches</t>
  </si>
  <si>
    <t xml:space="preserve"> cms x 2.5416</t>
  </si>
  <si>
    <t>Label SIZE</t>
  </si>
  <si>
    <t>Puntos 300DPI</t>
  </si>
  <si>
    <t>^FO</t>
  </si>
  <si>
    <t>x,y</t>
  </si>
  <si>
    <t>(Columna,Renglon)</t>
  </si>
  <si>
    <t>Ejemplo Canadiense</t>
  </si>
  <si>
    <t>Columna(x)</t>
  </si>
  <si>
    <t>Renglon (y)</t>
  </si>
  <si>
    <t>Texto</t>
  </si>
  <si>
    <t>DATE:</t>
  </si>
  <si>
    <t>Variable</t>
  </si>
  <si>
    <t>&amp;sFecha</t>
  </si>
  <si>
    <t>50+DATE:</t>
  </si>
  <si>
    <t>FDGVWR/PNBV:</t>
  </si>
  <si>
    <t>&amp;sGVWR</t>
  </si>
  <si>
    <t>FDRR:</t>
  </si>
  <si>
    <t>115+FDDR</t>
  </si>
  <si>
    <t>&amp;sRR</t>
  </si>
  <si>
    <t>VIN:</t>
  </si>
  <si>
    <t>sVIN</t>
  </si>
  <si>
    <t>Ejemplo Lineas</t>
  </si>
  <si>
    <t>Linea</t>
  </si>
  <si>
    <t>corta</t>
  </si>
  <si>
    <t>Ancho</t>
  </si>
  <si>
    <t>Abajo</t>
  </si>
  <si>
    <t>Derecha</t>
  </si>
  <si>
    <t>Ejemplo VIN (codigo Barras a 7 a 10 mm) de 72 a 120</t>
  </si>
  <si>
    <t>Alto</t>
  </si>
  <si>
    <t>Dato</t>
  </si>
  <si>
    <t>sVin</t>
  </si>
  <si>
    <t>Barcode ^B3 code 39 barcode</t>
  </si>
  <si>
    <t>^B3</t>
  </si>
  <si>
    <t>,,</t>
  </si>
  <si>
    <t>Logos</t>
  </si>
  <si>
    <t>EC2.GRF</t>
  </si>
  <si>
    <t>LogoCert.GRF</t>
  </si>
  <si>
    <t>Puntos 203DPI</t>
  </si>
  <si>
    <t xml:space="preserve">        MANUFACTURAD BY NISSAN MOTOR CO., LTD.</t>
  </si>
  <si>
    <t>LARGA</t>
  </si>
  <si>
    <t>LARGa</t>
  </si>
  <si>
    <t>len x FontWidth</t>
  </si>
  <si>
    <t>DataStreams</t>
  </si>
  <si>
    <t>DATOS r</t>
  </si>
  <si>
    <t>DIV 4</t>
  </si>
  <si>
    <t xml:space="preserve">ELEV 2 </t>
  </si>
  <si>
    <t>DOBLE WORD</t>
  </si>
  <si>
    <t>int p = ((i * 24) + (24 - j))*2;</t>
  </si>
  <si>
    <t>interes 2</t>
  </si>
  <si>
    <t>CertLabel.UI</t>
  </si>
  <si>
    <t>CertLabel.Model</t>
  </si>
  <si>
    <t>CertLabel.ModelDataAccess</t>
  </si>
  <si>
    <t>CertLabel.Dashboard</t>
  </si>
  <si>
    <t>CertLabel.Logging</t>
  </si>
  <si>
    <t>CertLabel.Infrastructure</t>
  </si>
  <si>
    <t>CertLabel.NXAuto</t>
  </si>
  <si>
    <t>\Model</t>
  </si>
  <si>
    <t>ShowModelEvent</t>
  </si>
  <si>
    <t>\ViewModels</t>
  </si>
  <si>
    <t>ModelViewModel</t>
  </si>
  <si>
    <t>ListViewModel</t>
  </si>
  <si>
    <t>ListItemModel</t>
  </si>
  <si>
    <t>\Views</t>
  </si>
  <si>
    <t>ModelListView</t>
  </si>
  <si>
    <t>ModelView</t>
  </si>
  <si>
    <t>(idem Model)</t>
  </si>
  <si>
    <t>ModelModel (cs)</t>
  </si>
  <si>
    <t>ModelController (cs)</t>
  </si>
  <si>
    <t>bootstrapper (cs)</t>
  </si>
  <si>
    <t>(entityFramework)</t>
  </si>
  <si>
    <t>NXAuto</t>
  </si>
  <si>
    <t>Model</t>
  </si>
  <si>
    <t>(where SDF file reside)</t>
  </si>
  <si>
    <t>\Databases</t>
  </si>
  <si>
    <t>extensions (cs)</t>
  </si>
  <si>
    <t>LoadData()</t>
  </si>
  <si>
    <t>ModelDataEntities (cs)</t>
  </si>
  <si>
    <t>ModelService (cs)</t>
  </si>
  <si>
    <t>GetNXAuto(id) : NxAuto</t>
  </si>
  <si>
    <t>GetNXAutoPending() : Collection &lt;NxAuto&gt;</t>
  </si>
  <si>
    <t>ShellWindow.xmla (Main)</t>
  </si>
  <si>
    <t>GetModel(ModelKey) : Model</t>
  </si>
  <si>
    <t>GetAllModel() : Collection &lt;Model&gt;</t>
  </si>
  <si>
    <t>GetLabelFormat(Model) : XML-format</t>
  </si>
  <si>
    <t>DashBoardModule (cs)</t>
  </si>
  <si>
    <t>DashBoardController (cs) : Interfase</t>
  </si>
  <si>
    <t>DashController, eventAggregator, regionManager, ShowAppMessage, HideAppMessage</t>
  </si>
  <si>
    <t>DashBoardModule, use DashBoardController</t>
  </si>
  <si>
    <t>\Services</t>
  </si>
  <si>
    <t>\Events</t>
  </si>
  <si>
    <t>HideAppMessageEvent, ShowAppMessageEvent</t>
  </si>
  <si>
    <t>Interfase</t>
  </si>
  <si>
    <t>IModelService</t>
  </si>
  <si>
    <t>[Session Start]</t>
  </si>
  <si>
    <t>2014-09-27 22:28:51,941 [9] DEBUG PrismDemo.Logging.Logger - Logger was created successfully.</t>
  </si>
  <si>
    <t>2014-09-27 22:28:51,962 [9] DEBUG PrismDemo.Logging.Logger - Creating module catalog.</t>
  </si>
  <si>
    <t>2014-09-27 22:28:51,981 [9] DEBUG PrismDemo.Logging.Logger - Configuring module catalog.</t>
  </si>
  <si>
    <t>2014-09-27 22:28:51,982 [9] DEBUG PrismDemo.Logging.Logger - Creating Unity container.</t>
  </si>
  <si>
    <t>2014-09-27 22:28:52,474 [9] DEBUG PrismDemo.Logging.Logger - Configuring the Unity container.</t>
  </si>
  <si>
    <t>2014-09-27 22:28:52,521 [9] DEBUG PrismDemo.Logging.Logger - Adding UnityBootstrapperExtension to container.</t>
  </si>
  <si>
    <t>2014-09-27 22:28:52,653 [9] DEBUG PrismDemo.Logging.Logger - Configuring ServiceLocator singleton.</t>
  </si>
  <si>
    <t>2014-09-27 22:28:52,654 [9] DEBUG PrismDemo.Logging.Logger - Configuring region adapters.</t>
  </si>
  <si>
    <t>2014-09-27 22:28:52,687 [9] DEBUG PrismDemo.Logging.Logger - Configuring default region behaviors.</t>
  </si>
  <si>
    <t>2014-09-27 22:28:52,689 [9] DEBUG PrismDemo.Logging.Logger - Registering Framework Exception Types.</t>
  </si>
  <si>
    <t>2014-09-27 22:28:52,690 [9] DEBUG PrismDemo.Logging.Logger - Creating the shell.</t>
  </si>
  <si>
    <t>2014-09-27 22:28:52,895 [9] DEBUG PrismDemo.Logging.Logger - Setting the RegionManager.</t>
  </si>
  <si>
    <t>2014-09-27 22:28:52,898 [9] DEBUG PrismDemo.Logging.Logger - Updating Regions.</t>
  </si>
  <si>
    <t>2014-09-27 22:28:52,991 [9] DEBUG PrismDemo.Logging.Logger - Initializing the shell.</t>
  </si>
  <si>
    <t>2014-09-27 22:28:53,467 [9] DEBUG PrismDemo.Logging.Logger - Initializing modules.</t>
  </si>
  <si>
    <t>2014-09-27 22:28:54,728 [9] DEBUG PrismDemo.Logging.Logger - Dashboard Module Initialized</t>
  </si>
  <si>
    <t>2014-09-27 22:28:55,106 [9] DEBUG PrismDemo.Logging.Logger - Customer Module Initialized</t>
  </si>
  <si>
    <t>2014-09-27 22:28:55,107 [9] DEBUG PrismDemo.Logging.Logger - Bootstrapper sequence completed.</t>
  </si>
  <si>
    <t>[Session End]</t>
  </si>
  <si>
    <t xml:space="preserve">GetNxAuto(NxAuto ID); Collection&lt;NXAuto&gt; GetNXAutoPending() ; GetModel(Model Key) : Model; Collection&lt;Model&gt; GetAllModel(); </t>
  </si>
  <si>
    <t>bgvwr</t>
  </si>
  <si>
    <t>\02I 5E12N385244TDTALGZE12ENA-----CANB17G 1410023   3N1CE2CP8FL38524416594713459J5668HR16  DT836117J\03</t>
  </si>
  <si>
    <t>\02I 5L02Z861143BDTALAZN17EUAP---QISRQM1G 1410011   3N1CN7AP5FL86114316347513742J2947HR16  DT834903J\03</t>
  </si>
  <si>
    <t>\02I 5E12S385245TDTALCZE12EUA-----USAB17G 1410023   3N1CE2CPXFL38524516595113463J5829HR16  DT833847H\03</t>
  </si>
  <si>
    <t>\02I 5K13J232752FDTULFGK13EJA-B---MEXB17G 1410023   3N1CK3CD2FL2327521659531346555043HR16  DT834132H\03</t>
  </si>
  <si>
    <t>\02I 5K13Y232755FDTULFGK13EHA--B--AGTB17G 1410023   3N1CK3CD8FL23275516596713479J2511HR16  DT834134H\03</t>
  </si>
  <si>
    <t>\02I 5L02V861514BDTALBFN17EJAP----LAMKBDG 1410023   3N1CN7AD6FL86151416598613493J2662HR16  DT836607J\03</t>
  </si>
  <si>
    <t>\02I 4B17R688819BDSALCZB17EVA----ECALKBDK 1410023   3N1AB7AP5EL68881916606813577J5723MRA8  DS427671H\03</t>
  </si>
  <si>
    <t>000123456789012345678901234567890123456789012345678901234567890123456789012345678901234567890123456789012345678901234567890</t>
  </si>
  <si>
    <t xml:space="preserve">            1         2         3         4         5         6         7         8         9      </t>
  </si>
  <si>
    <t>Caso 240</t>
  </si>
  <si>
    <t>Width / 8</t>
  </si>
  <si>
    <t xml:space="preserve">Caso 192 </t>
  </si>
  <si>
    <t>left, top</t>
  </si>
  <si>
    <r>
      <t xml:space="preserve">    </t>
    </r>
    <r>
      <rPr>
        <sz val="9.5"/>
        <color rgb="FFA31515"/>
        <rFont val="Consolas"/>
        <family val="3"/>
      </rPr>
      <t>^FO50 ,330^GB472,0,4^FS</t>
    </r>
  </si>
  <si>
    <r>
      <t xml:space="preserve">           </t>
    </r>
    <r>
      <rPr>
        <sz val="9.5"/>
        <color rgb="FFA31515"/>
        <rFont val="Consolas"/>
        <family val="3"/>
      </rPr>
      <t>^FO170,330^GB0,18,4^FS</t>
    </r>
  </si>
  <si>
    <r>
      <t xml:space="preserve">           </t>
    </r>
    <r>
      <rPr>
        <sz val="9.5"/>
        <color rgb="FFA31515"/>
        <rFont val="Consolas"/>
        <family val="3"/>
      </rPr>
      <t>^FO280,330^GB0,18,4^FS</t>
    </r>
  </si>
  <si>
    <r>
      <t xml:space="preserve">           </t>
    </r>
    <r>
      <rPr>
        <sz val="9.5"/>
        <color rgb="FFA31515"/>
        <rFont val="Consolas"/>
        <family val="3"/>
      </rPr>
      <t>^FO50 ,408^GB472,0,4^FS</t>
    </r>
  </si>
  <si>
    <r>
      <t xml:space="preserve">           </t>
    </r>
    <r>
      <rPr>
        <sz val="9.5"/>
        <color rgb="FFA31515"/>
        <rFont val="Consolas"/>
        <family val="3"/>
      </rPr>
      <t>^FO170,408^GB0,18,4^FS</t>
    </r>
  </si>
  <si>
    <t xml:space="preserve">    </t>
  </si>
  <si>
    <r>
      <t xml:space="preserve">loadShape.Height = </t>
    </r>
    <r>
      <rPr>
        <sz val="9.5"/>
        <color rgb="FF0000FF"/>
        <rFont val="Consolas"/>
        <family val="3"/>
      </rPr>
      <t>double</t>
    </r>
    <r>
      <rPr>
        <sz val="9.5"/>
        <color rgb="FF000000"/>
        <rFont val="Consolas"/>
        <family val="3"/>
      </rPr>
      <t>.Parse(item.Attributes[</t>
    </r>
    <r>
      <rPr>
        <sz val="9.5"/>
        <color rgb="FFA31515"/>
        <rFont val="Consolas"/>
        <family val="3"/>
      </rPr>
      <t>"Height"</t>
    </r>
    <r>
      <rPr>
        <sz val="9.5"/>
        <color rgb="FF000000"/>
        <rFont val="Consolas"/>
        <family val="3"/>
      </rPr>
      <t>].InnerText);</t>
    </r>
  </si>
  <si>
    <r>
      <t xml:space="preserve">loadShape.Width = </t>
    </r>
    <r>
      <rPr>
        <sz val="9.5"/>
        <color rgb="FF0000FF"/>
        <rFont val="Consolas"/>
        <family val="3"/>
      </rPr>
      <t>double</t>
    </r>
    <r>
      <rPr>
        <sz val="9.5"/>
        <color rgb="FF000000"/>
        <rFont val="Consolas"/>
        <family val="3"/>
      </rPr>
      <t>.Parse(item.Attributes[</t>
    </r>
    <r>
      <rPr>
        <sz val="9.5"/>
        <color rgb="FFA31515"/>
        <rFont val="Consolas"/>
        <family val="3"/>
      </rPr>
      <t>"Width"</t>
    </r>
    <r>
      <rPr>
        <sz val="9.5"/>
        <color rgb="FF000000"/>
        <rFont val="Consolas"/>
        <family val="3"/>
      </rPr>
      <t>].InnerText);</t>
    </r>
  </si>
  <si>
    <t>^FO50,24 ^A0N,50,40^FD          MANUFACTURED BY NISSAN MOTOR CO., LTD.^FS</t>
  </si>
  <si>
    <t xml:space="preserve">           ^FO50,70 ^AD,40^FDDATE:    09/14^FS</t>
  </si>
  <si>
    <t xml:space="preserve">           ^FO570,70 ^AD,40^FDGVWR/PNBV: 1715 KG^FS</t>
  </si>
  <si>
    <t xml:space="preserve">           ^FO50,115^AD,40^FDGAWR/PNBE FR:890 KG^FS</t>
  </si>
  <si>
    <t xml:space="preserve">           ^FO550,115 ^AD,40^FDRR:  825 KG^FS</t>
  </si>
  <si>
    <t xml:space="preserve">           ^FO50,156^AD,40^FDVIN:^FS</t>
  </si>
  <si>
    <r>
      <t xml:space="preserve">           ^FO170,156^A0N,50,40^FD</t>
    </r>
    <r>
      <rPr>
        <sz val="11"/>
        <color rgb="FF545454"/>
        <rFont val="Arial"/>
        <family val="2"/>
      </rPr>
      <t>1N4AL21E28N411020</t>
    </r>
    <r>
      <rPr>
        <sz val="11"/>
        <color theme="1"/>
        <rFont val="Calibri"/>
        <family val="2"/>
        <scheme val="minor"/>
      </rPr>
      <t xml:space="preserve">^FS </t>
    </r>
  </si>
  <si>
    <t xml:space="preserve">           ^FO50,202^AD,40^FDTYPE: PC/VT^FS</t>
  </si>
  <si>
    <t xml:space="preserve">           ^FO50,248^AD,40^FDICES/NMB-002^FS</t>
  </si>
  <si>
    <t xml:space="preserve">           ^FO50,294^AD,40^FDCOLOR TRIM  TRANS^FS</t>
  </si>
  <si>
    <t xml:space="preserve">           ^FO50,340^AD,40^FD 123   45   RS6F94R^FS</t>
  </si>
  <si>
    <t xml:space="preserve">           ^FO50,373^AD,40^FDAXLE  ENGINE^FS</t>
  </si>
  <si>
    <t xml:space="preserve">           ^FO50,417^AD,40^FDGC39  MRA8DE^FS</t>
  </si>
  <si>
    <t xml:space="preserve">           ^FO50,450^AD,40^FDMODEL:      BDSALCY-ENA       4Z000^FS</t>
  </si>
  <si>
    <t xml:space="preserve">^LT00 </t>
  </si>
  <si>
    <t xml:space="preserve">LABEL TOP </t>
  </si>
  <si>
    <t>( -120 TO 120 )</t>
  </si>
  <si>
    <t>^CI10</t>
  </si>
  <si>
    <t>set INTERNATIONAL FONT</t>
  </si>
  <si>
    <t>10 = SPAIN</t>
  </si>
  <si>
    <t>^JL58</t>
  </si>
  <si>
    <t>??</t>
  </si>
  <si>
    <r>
      <t>^A0N,50,40^FD</t>
    </r>
    <r>
      <rPr>
        <sz val="11"/>
        <color rgb="FF545454"/>
        <rFont val="Arial"/>
        <family val="2"/>
      </rPr>
      <t>1N4AL21E28N411020</t>
    </r>
    <r>
      <rPr>
        <sz val="11"/>
        <color theme="1"/>
        <rFont val="Calibri"/>
        <family val="2"/>
        <scheme val="minor"/>
      </rPr>
      <t xml:space="preserve">^FS </t>
    </r>
  </si>
  <si>
    <t>45 Pixeles entre lineas</t>
  </si>
  <si>
    <t>Font 0 orientation N, 50 heigth y 40 width</t>
  </si>
  <si>
    <r>
      <t xml:space="preserve">           ^FO50,</t>
    </r>
    <r>
      <rPr>
        <b/>
        <sz val="11"/>
        <color theme="1"/>
        <rFont val="Calibri"/>
        <family val="2"/>
        <scheme val="minor"/>
      </rPr>
      <t>70</t>
    </r>
    <r>
      <rPr>
        <sz val="11"/>
        <color theme="1"/>
        <rFont val="Calibri"/>
        <family val="2"/>
        <scheme val="minor"/>
      </rPr>
      <t xml:space="preserve"> ^AD,40^FDDATE:    09/14^FS</t>
    </r>
  </si>
  <si>
    <t>(default 15 height x 12 width) ultimo ^CF</t>
  </si>
  <si>
    <t>CF (default dice que A, de 9 height x 5 width)</t>
  </si>
  <si>
    <t>Fond D, 40 Height</t>
  </si>
  <si>
    <t>46 Pixeles vs linea NISSAN</t>
  </si>
  <si>
    <r>
      <t>^FO50,</t>
    </r>
    <r>
      <rPr>
        <b/>
        <sz val="11"/>
        <color theme="1"/>
        <rFont val="Calibri"/>
        <family val="2"/>
        <scheme val="minor"/>
      </rPr>
      <t xml:space="preserve">24 </t>
    </r>
    <r>
      <rPr>
        <sz val="11"/>
        <color theme="1"/>
        <rFont val="Calibri"/>
        <family val="2"/>
        <scheme val="minor"/>
      </rPr>
      <t>^A0N,</t>
    </r>
    <r>
      <rPr>
        <b/>
        <sz val="11"/>
        <color theme="1"/>
        <rFont val="Calibri"/>
        <family val="2"/>
        <scheme val="minor"/>
      </rPr>
      <t>50,40</t>
    </r>
    <r>
      <rPr>
        <sz val="11"/>
        <color theme="1"/>
        <rFont val="Calibri"/>
        <family val="2"/>
        <scheme val="minor"/>
      </rPr>
      <t>^FD          MANUFACTURED BY NISSAN MOTOR CO., LTD.^FS</t>
    </r>
  </si>
  <si>
    <r>
      <t xml:space="preserve">           ^FO550,115 ^A</t>
    </r>
    <r>
      <rPr>
        <b/>
        <sz val="11"/>
        <color theme="1"/>
        <rFont val="Calibri"/>
        <family val="2"/>
        <scheme val="minor"/>
      </rPr>
      <t>D,40</t>
    </r>
    <r>
      <rPr>
        <sz val="11"/>
        <color theme="1"/>
        <rFont val="Calibri"/>
        <family val="2"/>
        <scheme val="minor"/>
      </rPr>
      <t>^FDRR:  825 KG^FS</t>
    </r>
  </si>
  <si>
    <r>
      <t xml:space="preserve">           ^FO301,388^AB,32^FD</t>
    </r>
    <r>
      <rPr>
        <sz val="11"/>
        <color rgb="FF545454"/>
        <rFont val="Arial"/>
        <family val="2"/>
      </rPr>
      <t>1N4AL21E28N411020</t>
    </r>
    <r>
      <rPr>
        <sz val="11"/>
        <color theme="1"/>
        <rFont val="Calibri"/>
        <family val="2"/>
        <scheme val="minor"/>
      </rPr>
      <t>^FS</t>
    </r>
  </si>
  <si>
    <t>Modelo Arabe:</t>
  </si>
  <si>
    <t>Found B,32 Height</t>
  </si>
  <si>
    <t>^FO100,140^A0N,50,30^FD    THIS VEHICLE CONFORMS TO ALL APPLICABLE FEDERAL MOTOR^FS</t>
  </si>
  <si>
    <t>^FO100,190^A0N,50,30^FD    VEHICLE SAFETY, BUMPER AND THEFT PREVENTION STANDARDS^FS</t>
  </si>
  <si>
    <t>^FO100,234^A0N,50,30^FD    IN EFFECT ON THE DATE OF MANUFACTURE SHOWN ABOVE.^FS</t>
  </si>
  <si>
    <t>^FO100,278^A0N,50,30^FD    SEE OWNER'S MANUAL FOR ADDITIONAL INFORMATION.^FS</t>
  </si>
  <si>
    <t>Font 0 orientation N, 50 heigth y 30 width</t>
  </si>
  <si>
    <t>44 px</t>
  </si>
  <si>
    <t>50 px</t>
  </si>
  <si>
    <t>(si esta separado)</t>
  </si>
  <si>
    <t xml:space="preserve">           "^FO420,24 ^AH^FDBY^FS" &amp; _</t>
  </si>
  <si>
    <t xml:space="preserve">           "^FO485,24 ^AH^FDNISSAN^FS" &amp; _</t>
  </si>
  <si>
    <t xml:space="preserve">           "^FO670,24 ^AH^FDMOTOR^FS" &amp; _</t>
  </si>
  <si>
    <t xml:space="preserve">           "^FO820,24 ^AH^FDCO.,^FS" &amp; _</t>
  </si>
  <si>
    <t xml:space="preserve">           "^FO935,24 ^AH^FDLTD.^FS" &amp; _</t>
  </si>
  <si>
    <t xml:space="preserve">           "^FO50,61 ^AH^FDDATE:    " &amp; sFecha &amp; ".   GVWR:    " &amp; sGVWR &amp; "^FS" &amp; _</t>
  </si>
  <si>
    <t xml:space="preserve">           "^FO50,99^AH^FDGAWR FR: " &amp; sGAWR &amp; " GAWR RR: " &amp; sRR &amp; "^FS"</t>
  </si>
  <si>
    <t>USA label</t>
  </si>
  <si>
    <t>^FO80,417^AH,15^FD &amp; sColor &amp; "  " &amp; sTrim &amp; "^FS" &amp; _</t>
  </si>
  <si>
    <t xml:space="preserve">           "^FO300,417^AH,15^FD" &amp; sTrans &amp; " " &amp; sAxle &amp; "^FS" &amp; _</t>
  </si>
  <si>
    <t xml:space="preserve">           "^FO645,417^AH,15^FD" &amp; sEngine &amp; "^FS" &amp; _</t>
  </si>
  <si>
    <t xml:space="preserve">           "^FO50,462^AH,15^FDMODEL:      " &amp; sModel &amp; "    4Z000^FS"</t>
  </si>
  <si>
    <r>
      <t>^FO60,24 ^</t>
    </r>
    <r>
      <rPr>
        <b/>
        <sz val="11"/>
        <color theme="1"/>
        <rFont val="Calibri"/>
        <family val="2"/>
        <scheme val="minor"/>
      </rPr>
      <t>AH</t>
    </r>
    <r>
      <rPr>
        <sz val="11"/>
        <color theme="1"/>
        <rFont val="Calibri"/>
        <family val="2"/>
        <scheme val="minor"/>
      </rPr>
      <t>^FDMANUFACTURED^FS &amp; _</t>
    </r>
  </si>
  <si>
    <r>
      <t>^FO50,325^</t>
    </r>
    <r>
      <rPr>
        <b/>
        <sz val="11"/>
        <color theme="1"/>
        <rFont val="Calibri"/>
        <family val="2"/>
        <scheme val="minor"/>
      </rPr>
      <t>AH,15</t>
    </r>
    <r>
      <rPr>
        <sz val="11"/>
        <color theme="1"/>
        <rFont val="Calibri"/>
        <family val="2"/>
        <scheme val="minor"/>
      </rPr>
      <t>^FDVIN:^FS &amp; _</t>
    </r>
  </si>
  <si>
    <r>
      <t xml:space="preserve">           "^FO170,325^</t>
    </r>
    <r>
      <rPr>
        <b/>
        <sz val="11"/>
        <color theme="1"/>
        <rFont val="Calibri"/>
        <family val="2"/>
        <scheme val="minor"/>
      </rPr>
      <t>A0N,50,40</t>
    </r>
    <r>
      <rPr>
        <sz val="11"/>
        <color theme="1"/>
        <rFont val="Calibri"/>
        <family val="2"/>
        <scheme val="minor"/>
      </rPr>
      <t>^FD " &amp; sVIN &amp; "^FS" &amp; _</t>
    </r>
  </si>
  <si>
    <r>
      <t xml:space="preserve">           "^FO680,325 ^</t>
    </r>
    <r>
      <rPr>
        <b/>
        <sz val="11"/>
        <color theme="1"/>
        <rFont val="Calibri"/>
        <family val="2"/>
        <scheme val="minor"/>
      </rPr>
      <t>A0,50,30</t>
    </r>
    <r>
      <rPr>
        <sz val="11"/>
        <color theme="1"/>
        <rFont val="Calibri"/>
        <family val="2"/>
        <scheme val="minor"/>
      </rPr>
      <t>^FD PASSENGER CAR.^FS" &amp; _</t>
    </r>
  </si>
  <si>
    <r>
      <t xml:space="preserve">           "^FO50,370^</t>
    </r>
    <r>
      <rPr>
        <b/>
        <sz val="11"/>
        <color theme="1"/>
        <rFont val="Calibri"/>
        <family val="2"/>
        <scheme val="minor"/>
      </rPr>
      <t>AH,15</t>
    </r>
    <r>
      <rPr>
        <sz val="11"/>
        <color theme="1"/>
        <rFont val="Calibri"/>
        <family val="2"/>
        <scheme val="minor"/>
      </rPr>
      <t>^FDCOLOR^FS" &amp; _</t>
    </r>
  </si>
  <si>
    <r>
      <t xml:space="preserve">           "^FO195,370^</t>
    </r>
    <r>
      <rPr>
        <b/>
        <sz val="11"/>
        <color theme="1"/>
        <rFont val="Calibri"/>
        <family val="2"/>
        <scheme val="minor"/>
      </rPr>
      <t>AH,15</t>
    </r>
    <r>
      <rPr>
        <sz val="11"/>
        <color theme="1"/>
        <rFont val="Calibri"/>
        <family val="2"/>
        <scheme val="minor"/>
      </rPr>
      <t>^FDTRIM TRANS AXLE    ENGINE^FS"</t>
    </r>
  </si>
  <si>
    <t>Salto 37 px</t>
  </si>
  <si>
    <t>Salto 45 px</t>
  </si>
  <si>
    <t>^FO255,495^B3,,120,N^FD &amp; sVIN &amp; "^FS" &amp; _</t>
  </si>
  <si>
    <t xml:space="preserve">           "^XZ"</t>
  </si>
  <si>
    <r>
      <t xml:space="preserve">           "^FO315,618^</t>
    </r>
    <r>
      <rPr>
        <b/>
        <sz val="11"/>
        <color theme="1"/>
        <rFont val="Calibri"/>
        <family val="2"/>
        <scheme val="minor"/>
      </rPr>
      <t>AH,28</t>
    </r>
    <r>
      <rPr>
        <sz val="11"/>
        <color theme="1"/>
        <rFont val="Calibri"/>
        <family val="2"/>
        <scheme val="minor"/>
      </rPr>
      <t>^FD" &amp; sVIN &amp; "^FS" &amp; _</t>
    </r>
  </si>
  <si>
    <t>de Canada</t>
  </si>
  <si>
    <t>Tamanos para Impresora</t>
  </si>
  <si>
    <t>Chico</t>
  </si>
  <si>
    <t>FontSize</t>
  </si>
  <si>
    <t>FontFamily</t>
  </si>
  <si>
    <t>Arial Unicode</t>
  </si>
  <si>
    <t>Ejemplo</t>
  </si>
  <si>
    <t>24 Carac</t>
  </si>
  <si>
    <t>Impresora</t>
  </si>
  <si>
    <t>Pantalla</t>
  </si>
  <si>
    <t>Mediano</t>
  </si>
  <si>
    <t>SimSun</t>
  </si>
  <si>
    <t>Grande</t>
  </si>
  <si>
    <t>XXL</t>
  </si>
  <si>
    <t>GdeAmp</t>
  </si>
  <si>
    <t>etiquetas</t>
  </si>
  <si>
    <t xml:space="preserve">en </t>
  </si>
  <si>
    <t>segundos</t>
  </si>
  <si>
    <t>Seg</t>
  </si>
  <si>
    <t>centec-Seg</t>
  </si>
  <si>
    <t>Generar Formato</t>
  </si>
  <si>
    <t>con Actualizacion</t>
  </si>
  <si>
    <t>!dtrim</t>
  </si>
  <si>
    <t>TRIM</t>
  </si>
  <si>
    <t>mid(39,2)</t>
  </si>
  <si>
    <t>Cint</t>
  </si>
  <si>
    <t>Campo</t>
  </si>
  <si>
    <t>Funcion</t>
  </si>
  <si>
    <t>Nombre Etiq</t>
  </si>
  <si>
    <t>campo</t>
  </si>
  <si>
    <t xml:space="preserve"> Mid(sModelo, 1, 7) &amp; "-" &amp; Mid(sModelo, 11, 3)</t>
  </si>
  <si>
    <t>sModelo</t>
  </si>
  <si>
    <t>!dModel = Mid(sBuffer, 15, 18) ' "18"</t>
  </si>
  <si>
    <t>prefix base suffix</t>
  </si>
  <si>
    <t xml:space="preserve">sModel </t>
  </si>
  <si>
    <t>Solo Canada</t>
  </si>
  <si>
    <t>sin BASE y suffix (solo 3 de 8)</t>
  </si>
  <si>
    <t>1cm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</si>
</sst>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ourier New"/>
      <family val="3"/>
    </font>
    <font>
      <sz val="9.5"/>
      <color rgb="FF000000"/>
      <name val="Consolas"/>
      <family val="3"/>
    </font>
    <font>
      <sz val="9.5"/>
      <color rgb="FFA31515"/>
      <name val="Consolas"/>
      <family val="3"/>
    </font>
    <font>
      <sz val="9.5"/>
      <color rgb="FF0000FF"/>
      <name val="Consolas"/>
      <family val="3"/>
    </font>
    <font>
      <sz val="11"/>
      <color rgb="FF54545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4" xfId="0" applyFill="1" applyBorder="1"/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 applyAlignment="1">
      <alignment horizontal="center"/>
    </xf>
    <xf numFmtId="0" fontId="0" fillId="4" borderId="7" xfId="0" applyFill="1" applyBorder="1"/>
    <xf numFmtId="0" fontId="0" fillId="4" borderId="8" xfId="0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0" fontId="0" fillId="5" borderId="8" xfId="0" applyFill="1" applyBorder="1"/>
    <xf numFmtId="0" fontId="0" fillId="0" borderId="0" xfId="0" applyAlignment="1">
      <alignment horizontal="left"/>
    </xf>
    <xf numFmtId="0" fontId="0" fillId="6" borderId="1" xfId="0" applyFill="1" applyBorder="1"/>
    <xf numFmtId="0" fontId="0" fillId="6" borderId="2" xfId="0" applyFill="1" applyBorder="1" applyAlignment="1">
      <alignment horizontal="center"/>
    </xf>
    <xf numFmtId="0" fontId="0" fillId="6" borderId="2" xfId="0" applyFill="1" applyBorder="1"/>
    <xf numFmtId="0" fontId="0" fillId="6" borderId="3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2" fillId="0" borderId="0" xfId="0" applyFont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16" fontId="0" fillId="0" borderId="0" xfId="0" quotePrefix="1" applyNumberFormat="1" applyAlignment="1">
      <alignment horizontal="left"/>
    </xf>
    <xf numFmtId="0" fontId="0" fillId="7" borderId="0" xfId="0" applyFill="1"/>
    <xf numFmtId="0" fontId="0" fillId="7" borderId="0" xfId="0" quotePrefix="1" applyNumberFormat="1" applyFill="1"/>
    <xf numFmtId="16" fontId="0" fillId="4" borderId="0" xfId="0" quotePrefix="1" applyNumberFormat="1" applyFill="1" applyBorder="1" applyAlignment="1">
      <alignment horizontal="center"/>
    </xf>
    <xf numFmtId="0" fontId="1" fillId="0" borderId="4" xfId="0" applyFont="1" applyFill="1" applyBorder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1" fillId="4" borderId="1" xfId="0" applyFont="1" applyFill="1" applyBorder="1"/>
    <xf numFmtId="0" fontId="5" fillId="4" borderId="2" xfId="0" applyFont="1" applyFill="1" applyBorder="1" applyAlignment="1">
      <alignment horizontal="center"/>
    </xf>
    <xf numFmtId="0" fontId="6" fillId="0" borderId="0" xfId="0" applyFont="1"/>
    <xf numFmtId="0" fontId="1" fillId="0" borderId="9" xfId="0" applyFont="1" applyBorder="1"/>
    <xf numFmtId="0" fontId="0" fillId="0" borderId="11" xfId="0" applyBorder="1"/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12" xfId="0" applyBorder="1"/>
    <xf numFmtId="0" fontId="0" fillId="0" borderId="13" xfId="0" applyBorder="1"/>
    <xf numFmtId="2" fontId="0" fillId="0" borderId="13" xfId="0" applyNumberFormat="1" applyBorder="1"/>
    <xf numFmtId="0" fontId="0" fillId="0" borderId="14" xfId="0" applyBorder="1"/>
    <xf numFmtId="0" fontId="0" fillId="0" borderId="15" xfId="0" applyBorder="1"/>
    <xf numFmtId="2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0" borderId="16" xfId="0" applyFont="1" applyBorder="1"/>
    <xf numFmtId="0" fontId="4" fillId="0" borderId="0" xfId="0" applyFont="1"/>
    <xf numFmtId="0" fontId="0" fillId="0" borderId="0" xfId="0" quotePrefix="1"/>
    <xf numFmtId="0" fontId="0" fillId="8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0" xfId="0" applyAlignment="1"/>
    <xf numFmtId="0" fontId="1" fillId="4" borderId="4" xfId="0" applyFont="1" applyFill="1" applyBorder="1"/>
    <xf numFmtId="0" fontId="0" fillId="9" borderId="0" xfId="0" applyFill="1"/>
    <xf numFmtId="0" fontId="0" fillId="9" borderId="18" xfId="0" applyFill="1" applyBorder="1"/>
    <xf numFmtId="0" fontId="0" fillId="9" borderId="19" xfId="0" applyFill="1" applyBorder="1"/>
    <xf numFmtId="0" fontId="10" fillId="0" borderId="0" xfId="0" applyFont="1"/>
    <xf numFmtId="0" fontId="10" fillId="10" borderId="0" xfId="0" applyFont="1" applyFill="1"/>
    <xf numFmtId="0" fontId="4" fillId="10" borderId="0" xfId="0" applyFont="1" applyFill="1"/>
    <xf numFmtId="0" fontId="10" fillId="0" borderId="0" xfId="0" quotePrefix="1" applyFont="1"/>
    <xf numFmtId="0" fontId="0" fillId="10" borderId="0" xfId="0" applyFill="1"/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0" xfId="0" applyBorder="1"/>
    <xf numFmtId="0" fontId="0" fillId="0" borderId="0" xfId="0" applyBorder="1"/>
    <xf numFmtId="0" fontId="0" fillId="6" borderId="0" xfId="0" applyFill="1"/>
    <xf numFmtId="0" fontId="1" fillId="12" borderId="0" xfId="0" applyFont="1" applyFill="1"/>
    <xf numFmtId="0" fontId="1" fillId="13" borderId="0" xfId="0" applyFont="1" applyFill="1"/>
    <xf numFmtId="0" fontId="0" fillId="13" borderId="0" xfId="0" applyFill="1"/>
    <xf numFmtId="0" fontId="1" fillId="14" borderId="0" xfId="0" applyFont="1" applyFill="1"/>
    <xf numFmtId="0" fontId="0" fillId="0" borderId="8" xfId="0" applyBorder="1"/>
    <xf numFmtId="0" fontId="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2</xdr:row>
      <xdr:rowOff>19050</xdr:rowOff>
    </xdr:from>
    <xdr:to>
      <xdr:col>19</xdr:col>
      <xdr:colOff>179211</xdr:colOff>
      <xdr:row>15</xdr:row>
      <xdr:rowOff>17124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476250"/>
          <a:ext cx="12228335" cy="2493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118782</xdr:colOff>
      <xdr:row>2</xdr:row>
      <xdr:rowOff>70599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824382" cy="470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38100</xdr:colOff>
      <xdr:row>2</xdr:row>
      <xdr:rowOff>38100</xdr:rowOff>
    </xdr:from>
    <xdr:to>
      <xdr:col>22</xdr:col>
      <xdr:colOff>218245</xdr:colOff>
      <xdr:row>17</xdr:row>
      <xdr:rowOff>28195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3300" y="438150"/>
          <a:ext cx="6647620" cy="3038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0</xdr:row>
      <xdr:rowOff>57151</xdr:rowOff>
    </xdr:from>
    <xdr:to>
      <xdr:col>12</xdr:col>
      <xdr:colOff>507104</xdr:colOff>
      <xdr:row>17</xdr:row>
      <xdr:rowOff>103644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977" r="7608"/>
        <a:stretch/>
      </xdr:blipFill>
      <xdr:spPr>
        <a:xfrm>
          <a:off x="3457575" y="57151"/>
          <a:ext cx="4726679" cy="35326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485775</xdr:colOff>
      <xdr:row>0</xdr:row>
      <xdr:rowOff>0</xdr:rowOff>
    </xdr:from>
    <xdr:to>
      <xdr:col>20</xdr:col>
      <xdr:colOff>227947</xdr:colOff>
      <xdr:row>30</xdr:row>
      <xdr:rowOff>27855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2325" y="0"/>
          <a:ext cx="5228572" cy="576190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0</xdr:row>
      <xdr:rowOff>0</xdr:rowOff>
    </xdr:from>
    <xdr:to>
      <xdr:col>27</xdr:col>
      <xdr:colOff>561448</xdr:colOff>
      <xdr:row>20</xdr:row>
      <xdr:rowOff>170950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82550" y="0"/>
          <a:ext cx="4219048" cy="40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171450</xdr:colOff>
      <xdr:row>48</xdr:row>
      <xdr:rowOff>152400</xdr:rowOff>
    </xdr:from>
    <xdr:to>
      <xdr:col>20</xdr:col>
      <xdr:colOff>94726</xdr:colOff>
      <xdr:row>66</xdr:row>
      <xdr:rowOff>47210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77200" y="9315450"/>
          <a:ext cx="4190476" cy="3323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7</xdr:col>
      <xdr:colOff>266159</xdr:colOff>
      <xdr:row>70</xdr:row>
      <xdr:rowOff>8976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972550"/>
          <a:ext cx="4333334" cy="439047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13</xdr:col>
      <xdr:colOff>56663</xdr:colOff>
      <xdr:row>72</xdr:row>
      <xdr:rowOff>189881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67175" y="8972550"/>
          <a:ext cx="3895238" cy="49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5</xdr:col>
      <xdr:colOff>142476</xdr:colOff>
      <xdr:row>93</xdr:row>
      <xdr:rowOff>9024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3735050"/>
          <a:ext cx="3190476" cy="4009524"/>
        </a:xfrm>
        <a:prstGeom prst="rect">
          <a:avLst/>
        </a:prstGeom>
      </xdr:spPr>
    </xdr:pic>
    <xdr:clientData/>
  </xdr:twoCellAnchor>
  <xdr:twoCellAnchor editAs="oneCell">
    <xdr:from>
      <xdr:col>16</xdr:col>
      <xdr:colOff>561975</xdr:colOff>
      <xdr:row>73</xdr:row>
      <xdr:rowOff>133350</xdr:rowOff>
    </xdr:from>
    <xdr:to>
      <xdr:col>23</xdr:col>
      <xdr:colOff>256680</xdr:colOff>
      <xdr:row>92</xdr:row>
      <xdr:rowOff>151945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96525" y="14058900"/>
          <a:ext cx="3961905" cy="3638095"/>
        </a:xfrm>
        <a:prstGeom prst="rect">
          <a:avLst/>
        </a:prstGeom>
      </xdr:spPr>
    </xdr:pic>
    <xdr:clientData/>
  </xdr:twoCellAnchor>
  <xdr:twoCellAnchor editAs="oneCell">
    <xdr:from>
      <xdr:col>10</xdr:col>
      <xdr:colOff>485775</xdr:colOff>
      <xdr:row>103</xdr:row>
      <xdr:rowOff>133350</xdr:rowOff>
    </xdr:from>
    <xdr:to>
      <xdr:col>13</xdr:col>
      <xdr:colOff>428404</xdr:colOff>
      <xdr:row>105</xdr:row>
      <xdr:rowOff>9493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2725" y="19773900"/>
          <a:ext cx="1771429" cy="2571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161925</xdr:colOff>
      <xdr:row>94</xdr:row>
      <xdr:rowOff>133350</xdr:rowOff>
    </xdr:from>
    <xdr:to>
      <xdr:col>15</xdr:col>
      <xdr:colOff>218839</xdr:colOff>
      <xdr:row>95</xdr:row>
      <xdr:rowOff>180945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58075" y="18059400"/>
          <a:ext cx="1885714" cy="238095"/>
        </a:xfrm>
        <a:prstGeom prst="rect">
          <a:avLst/>
        </a:prstGeom>
        <a:solidFill>
          <a:schemeClr val="accent1"/>
        </a:solidFill>
        <a:ln w="3175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523875</xdr:colOff>
      <xdr:row>108</xdr:row>
      <xdr:rowOff>28575</xdr:rowOff>
    </xdr:from>
    <xdr:to>
      <xdr:col>13</xdr:col>
      <xdr:colOff>76027</xdr:colOff>
      <xdr:row>109</xdr:row>
      <xdr:rowOff>66646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00825" y="20621625"/>
          <a:ext cx="1380952" cy="2285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257175</xdr:colOff>
      <xdr:row>118</xdr:row>
      <xdr:rowOff>152400</xdr:rowOff>
    </xdr:from>
    <xdr:to>
      <xdr:col>18</xdr:col>
      <xdr:colOff>571080</xdr:colOff>
      <xdr:row>120</xdr:row>
      <xdr:rowOff>47590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62925" y="22650450"/>
          <a:ext cx="3361905" cy="2761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abSelected="1" topLeftCell="E1" workbookViewId="0">
      <selection activeCell="L1" sqref="L1"/>
    </sheetView>
  </sheetViews>
  <sheetFormatPr defaultRowHeight="15" x14ac:dyDescent="0.25"/>
  <cols>
    <col min="1" max="1" width="12.7109375" customWidth="1"/>
    <col min="5" max="5" width="13.140625" customWidth="1"/>
  </cols>
  <sheetData>
    <row r="1" spans="1:4" ht="16.5" customHeight="1" x14ac:dyDescent="0.3">
      <c r="A1" s="61" t="s">
        <v>0</v>
      </c>
    </row>
    <row r="2" spans="1:4" ht="19.5" customHeight="1" x14ac:dyDescent="0.3">
      <c r="A2" s="51" t="s">
        <v>1</v>
      </c>
    </row>
    <row r="14" spans="1:4" x14ac:dyDescent="0.25">
      <c r="A14" s="52" t="s">
        <v>8</v>
      </c>
      <c r="B14" s="53" t="s">
        <v>3</v>
      </c>
      <c r="C14" s="53" t="s">
        <v>4</v>
      </c>
      <c r="D14" s="54" t="s">
        <v>5</v>
      </c>
    </row>
    <row r="15" spans="1:4" ht="16.5" x14ac:dyDescent="0.25">
      <c r="A15" t="s">
        <v>2</v>
      </c>
      <c r="B15" s="2">
        <v>1</v>
      </c>
      <c r="C15" t="s">
        <v>7</v>
      </c>
      <c r="D15" s="43">
        <v>2</v>
      </c>
    </row>
    <row r="16" spans="1:4" ht="16.5" x14ac:dyDescent="0.25">
      <c r="A16" t="s">
        <v>6</v>
      </c>
      <c r="B16" s="2">
        <v>1</v>
      </c>
      <c r="C16" t="s">
        <v>7</v>
      </c>
      <c r="D16" t="s">
        <v>11</v>
      </c>
    </row>
    <row r="17" spans="1:20" ht="16.5" x14ac:dyDescent="0.25">
      <c r="A17" s="3" t="s">
        <v>9</v>
      </c>
      <c r="B17" s="30">
        <v>1</v>
      </c>
      <c r="C17" s="3" t="s">
        <v>10</v>
      </c>
      <c r="D17" s="3"/>
    </row>
    <row r="18" spans="1:20" x14ac:dyDescent="0.25">
      <c r="A18" s="17" t="s">
        <v>12</v>
      </c>
      <c r="B18" s="18">
        <v>4</v>
      </c>
      <c r="C18" s="19" t="s">
        <v>10</v>
      </c>
      <c r="D18" s="20"/>
      <c r="E18" t="s">
        <v>66</v>
      </c>
    </row>
    <row r="19" spans="1:20" x14ac:dyDescent="0.25">
      <c r="A19" s="24" t="s">
        <v>13</v>
      </c>
      <c r="B19" s="25">
        <v>7</v>
      </c>
      <c r="C19" s="26" t="s">
        <v>7</v>
      </c>
      <c r="D19" s="27"/>
    </row>
    <row r="20" spans="1:20" x14ac:dyDescent="0.25">
      <c r="A20" s="9" t="s">
        <v>14</v>
      </c>
      <c r="B20" s="10">
        <v>7</v>
      </c>
      <c r="C20" s="11" t="s">
        <v>10</v>
      </c>
      <c r="D20" s="12"/>
      <c r="G20" s="98" t="s">
        <v>261</v>
      </c>
    </row>
    <row r="21" spans="1:20" x14ac:dyDescent="0.25">
      <c r="A21" s="9" t="s">
        <v>15</v>
      </c>
      <c r="B21" s="10">
        <v>3</v>
      </c>
      <c r="C21" s="11" t="s">
        <v>10</v>
      </c>
      <c r="D21" s="12"/>
      <c r="E21" t="s">
        <v>65</v>
      </c>
      <c r="G21" s="98" t="s">
        <v>260</v>
      </c>
    </row>
    <row r="22" spans="1:20" x14ac:dyDescent="0.25">
      <c r="A22" s="13" t="s">
        <v>16</v>
      </c>
      <c r="B22" s="14">
        <v>8</v>
      </c>
      <c r="C22" s="15" t="s">
        <v>10</v>
      </c>
      <c r="D22" s="16"/>
      <c r="G22" s="96" t="s">
        <v>253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</row>
    <row r="23" spans="1:20" x14ac:dyDescent="0.25">
      <c r="A23" s="4" t="s">
        <v>17</v>
      </c>
      <c r="B23" s="28">
        <v>3</v>
      </c>
      <c r="C23" s="3" t="s">
        <v>10</v>
      </c>
      <c r="D23" s="29"/>
      <c r="G23" s="95" t="s">
        <v>254</v>
      </c>
    </row>
    <row r="24" spans="1:20" x14ac:dyDescent="0.25">
      <c r="A24" s="4" t="s">
        <v>18</v>
      </c>
      <c r="B24" s="28">
        <v>3</v>
      </c>
      <c r="C24" s="3" t="s">
        <v>10</v>
      </c>
      <c r="D24" s="29"/>
      <c r="G24" s="96" t="s">
        <v>255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</row>
    <row r="25" spans="1:20" x14ac:dyDescent="0.25">
      <c r="A25" s="4" t="s">
        <v>19</v>
      </c>
      <c r="B25" s="28">
        <v>2</v>
      </c>
      <c r="C25" s="3" t="s">
        <v>10</v>
      </c>
      <c r="D25" s="29"/>
      <c r="G25" s="95" t="s">
        <v>256</v>
      </c>
    </row>
    <row r="26" spans="1:20" x14ac:dyDescent="0.25">
      <c r="A26" s="31" t="s">
        <v>20</v>
      </c>
      <c r="B26" s="32">
        <v>2</v>
      </c>
      <c r="C26" s="33" t="s">
        <v>7</v>
      </c>
      <c r="D26" s="34"/>
      <c r="G26" s="96" t="s">
        <v>257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</row>
    <row r="27" spans="1:20" x14ac:dyDescent="0.25">
      <c r="A27" s="35" t="s">
        <v>21</v>
      </c>
      <c r="B27" s="36">
        <v>2</v>
      </c>
      <c r="C27" s="37" t="s">
        <v>7</v>
      </c>
      <c r="D27" s="38"/>
      <c r="E27" t="s">
        <v>23</v>
      </c>
      <c r="G27" s="95" t="s">
        <v>258</v>
      </c>
    </row>
    <row r="28" spans="1:20" x14ac:dyDescent="0.25">
      <c r="A28" s="39" t="s">
        <v>22</v>
      </c>
      <c r="B28" s="40">
        <v>2</v>
      </c>
      <c r="C28" s="41" t="s">
        <v>7</v>
      </c>
      <c r="D28" s="42"/>
      <c r="G28" s="96" t="s">
        <v>259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</row>
    <row r="29" spans="1:20" x14ac:dyDescent="0.25">
      <c r="A29" s="4" t="s">
        <v>24</v>
      </c>
      <c r="B29" s="30">
        <v>1</v>
      </c>
      <c r="C29" s="3" t="s">
        <v>10</v>
      </c>
    </row>
    <row r="30" spans="1:20" x14ac:dyDescent="0.25">
      <c r="A30" s="4" t="s">
        <v>25</v>
      </c>
      <c r="B30" s="30">
        <v>3</v>
      </c>
      <c r="C30" s="3" t="s">
        <v>10</v>
      </c>
    </row>
    <row r="31" spans="1:20" x14ac:dyDescent="0.25">
      <c r="A31" s="44" t="s">
        <v>26</v>
      </c>
      <c r="B31" s="45">
        <v>11</v>
      </c>
      <c r="C31" s="46" t="s">
        <v>10</v>
      </c>
      <c r="D31" s="47"/>
      <c r="E31" t="s">
        <v>27</v>
      </c>
    </row>
    <row r="32" spans="1:20" x14ac:dyDescent="0.25">
      <c r="A32" s="48" t="s">
        <v>13</v>
      </c>
      <c r="B32" s="49">
        <v>6</v>
      </c>
      <c r="C32" s="49" t="s">
        <v>10</v>
      </c>
      <c r="D32" s="50"/>
    </row>
    <row r="33" spans="1:4" x14ac:dyDescent="0.25">
      <c r="A33" t="s">
        <v>28</v>
      </c>
      <c r="B33" s="2">
        <v>1</v>
      </c>
      <c r="C33" t="s">
        <v>10</v>
      </c>
    </row>
    <row r="34" spans="1:4" x14ac:dyDescent="0.25">
      <c r="A34" t="s">
        <v>29</v>
      </c>
      <c r="B34" s="2">
        <v>5</v>
      </c>
      <c r="C34" t="s">
        <v>7</v>
      </c>
    </row>
    <row r="35" spans="1:4" x14ac:dyDescent="0.25">
      <c r="A35" t="s">
        <v>30</v>
      </c>
      <c r="B35" s="2">
        <v>5</v>
      </c>
      <c r="C35" t="s">
        <v>7</v>
      </c>
    </row>
    <row r="36" spans="1:4" x14ac:dyDescent="0.25">
      <c r="A36" t="s">
        <v>31</v>
      </c>
      <c r="B36" s="2">
        <v>5</v>
      </c>
      <c r="C36" t="s">
        <v>7</v>
      </c>
    </row>
    <row r="37" spans="1:4" x14ac:dyDescent="0.25">
      <c r="A37" t="s">
        <v>32</v>
      </c>
      <c r="B37" s="2">
        <v>4</v>
      </c>
      <c r="C37" t="s">
        <v>10</v>
      </c>
    </row>
    <row r="38" spans="1:4" x14ac:dyDescent="0.25">
      <c r="A38" t="s">
        <v>33</v>
      </c>
      <c r="B38" s="2">
        <v>2</v>
      </c>
      <c r="C38" t="s">
        <v>10</v>
      </c>
    </row>
    <row r="39" spans="1:4" x14ac:dyDescent="0.25">
      <c r="A39" t="s">
        <v>34</v>
      </c>
      <c r="B39" s="2">
        <v>2</v>
      </c>
      <c r="C39" t="s">
        <v>10</v>
      </c>
    </row>
    <row r="40" spans="1:4" x14ac:dyDescent="0.25">
      <c r="A40" t="s">
        <v>35</v>
      </c>
      <c r="B40" s="2">
        <v>6</v>
      </c>
      <c r="C40" t="s">
        <v>10</v>
      </c>
    </row>
    <row r="41" spans="1:4" x14ac:dyDescent="0.25">
      <c r="A41" t="s">
        <v>36</v>
      </c>
      <c r="B41" s="2">
        <v>1</v>
      </c>
      <c r="C41" t="s">
        <v>10</v>
      </c>
    </row>
    <row r="42" spans="1:4" x14ac:dyDescent="0.25">
      <c r="A42" t="s">
        <v>37</v>
      </c>
      <c r="B42" s="2">
        <v>1</v>
      </c>
      <c r="C42" t="s">
        <v>7</v>
      </c>
      <c r="D42">
        <v>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workbookViewId="0">
      <selection activeCell="A8" sqref="A8"/>
    </sheetView>
  </sheetViews>
  <sheetFormatPr defaultRowHeight="15" x14ac:dyDescent="0.25"/>
  <cols>
    <col min="15" max="15" width="10.85546875" customWidth="1"/>
    <col min="17" max="17" width="13" customWidth="1"/>
  </cols>
  <sheetData>
    <row r="1" spans="1:23" x14ac:dyDescent="0.25">
      <c r="L1" s="62" t="s">
        <v>63</v>
      </c>
      <c r="M1">
        <v>9</v>
      </c>
      <c r="N1" t="s">
        <v>51</v>
      </c>
      <c r="O1" s="56" t="s">
        <v>52</v>
      </c>
      <c r="P1" s="56" t="s">
        <v>53</v>
      </c>
      <c r="Q1" s="56" t="s">
        <v>54</v>
      </c>
      <c r="R1" s="56" t="s">
        <v>47</v>
      </c>
      <c r="S1" s="56" t="s">
        <v>48</v>
      </c>
      <c r="T1" s="56" t="s">
        <v>46</v>
      </c>
      <c r="U1" s="56" t="s">
        <v>55</v>
      </c>
      <c r="V1" s="56"/>
      <c r="W1" s="57" t="s">
        <v>56</v>
      </c>
    </row>
    <row r="2" spans="1:23" ht="16.5" x14ac:dyDescent="0.25">
      <c r="L2" s="62" t="s">
        <v>64</v>
      </c>
      <c r="M2">
        <f t="shared" ref="M2:W2" si="0">LEN(M1)</f>
        <v>1</v>
      </c>
      <c r="N2">
        <f t="shared" si="0"/>
        <v>14</v>
      </c>
      <c r="O2">
        <f t="shared" si="0"/>
        <v>7</v>
      </c>
      <c r="P2">
        <f t="shared" si="0"/>
        <v>7</v>
      </c>
      <c r="Q2">
        <f t="shared" si="0"/>
        <v>6</v>
      </c>
      <c r="R2">
        <f t="shared" si="0"/>
        <v>7</v>
      </c>
      <c r="S2">
        <f t="shared" si="0"/>
        <v>4</v>
      </c>
      <c r="T2">
        <f t="shared" si="0"/>
        <v>14</v>
      </c>
      <c r="U2">
        <f t="shared" si="0"/>
        <v>1</v>
      </c>
      <c r="V2">
        <f t="shared" si="0"/>
        <v>0</v>
      </c>
      <c r="W2">
        <f t="shared" si="0"/>
        <v>6</v>
      </c>
    </row>
    <row r="4" spans="1:23" x14ac:dyDescent="0.25">
      <c r="A4" s="52" t="s">
        <v>8</v>
      </c>
      <c r="B4" s="53" t="s">
        <v>3</v>
      </c>
      <c r="C4" s="53" t="s">
        <v>4</v>
      </c>
      <c r="D4" s="54" t="s">
        <v>5</v>
      </c>
    </row>
    <row r="5" spans="1:23" x14ac:dyDescent="0.25">
      <c r="A5" s="60" t="s">
        <v>49</v>
      </c>
      <c r="B5" s="2">
        <v>1</v>
      </c>
      <c r="C5" t="s">
        <v>7</v>
      </c>
      <c r="D5" s="55" t="s">
        <v>50</v>
      </c>
      <c r="E5" t="s">
        <v>61</v>
      </c>
    </row>
    <row r="6" spans="1:23" x14ac:dyDescent="0.25">
      <c r="A6" s="60" t="s">
        <v>38</v>
      </c>
      <c r="B6" s="2">
        <v>1</v>
      </c>
      <c r="C6" t="s">
        <v>10</v>
      </c>
      <c r="D6" s="43">
        <v>9</v>
      </c>
    </row>
    <row r="7" spans="1:23" x14ac:dyDescent="0.25">
      <c r="A7" s="63" t="s">
        <v>39</v>
      </c>
      <c r="B7" s="64" t="s">
        <v>73</v>
      </c>
      <c r="C7" s="19" t="s">
        <v>10</v>
      </c>
      <c r="D7" s="20"/>
      <c r="E7" t="s">
        <v>59</v>
      </c>
    </row>
    <row r="8" spans="1:23" x14ac:dyDescent="0.25">
      <c r="A8" s="91" t="s">
        <v>252</v>
      </c>
      <c r="B8" s="58" t="s">
        <v>58</v>
      </c>
      <c r="C8" s="22" t="s">
        <v>10</v>
      </c>
      <c r="D8" s="23"/>
    </row>
    <row r="9" spans="1:23" ht="16.5" x14ac:dyDescent="0.25">
      <c r="A9" s="21" t="s">
        <v>57</v>
      </c>
      <c r="B9" s="58" t="s">
        <v>58</v>
      </c>
      <c r="C9" s="22" t="s">
        <v>10</v>
      </c>
      <c r="D9" s="23"/>
    </row>
    <row r="10" spans="1:23" ht="16.5" x14ac:dyDescent="0.25">
      <c r="A10" s="24" t="s">
        <v>40</v>
      </c>
      <c r="B10" s="58" t="s">
        <v>58</v>
      </c>
      <c r="C10" s="26" t="s">
        <v>10</v>
      </c>
      <c r="D10" s="27"/>
    </row>
    <row r="11" spans="1:23" ht="16.5" x14ac:dyDescent="0.25">
      <c r="A11" s="5" t="s">
        <v>41</v>
      </c>
      <c r="B11" s="6">
        <v>7</v>
      </c>
      <c r="C11" s="7" t="s">
        <v>10</v>
      </c>
      <c r="D11" s="8"/>
    </row>
    <row r="12" spans="1:23" ht="16.5" x14ac:dyDescent="0.25">
      <c r="A12" s="9" t="s">
        <v>42</v>
      </c>
      <c r="B12" s="10">
        <v>4</v>
      </c>
      <c r="C12" s="11" t="s">
        <v>10</v>
      </c>
      <c r="D12" s="12"/>
    </row>
    <row r="13" spans="1:23" ht="16.5" x14ac:dyDescent="0.25">
      <c r="A13" s="13" t="s">
        <v>43</v>
      </c>
      <c r="B13" s="14">
        <v>14</v>
      </c>
      <c r="C13" s="15" t="s">
        <v>10</v>
      </c>
      <c r="D13" s="16"/>
    </row>
    <row r="14" spans="1:23" x14ac:dyDescent="0.25">
      <c r="A14" s="4" t="s">
        <v>44</v>
      </c>
      <c r="B14" s="28">
        <v>3</v>
      </c>
      <c r="C14" s="3" t="s">
        <v>10</v>
      </c>
      <c r="D14" s="29"/>
    </row>
    <row r="15" spans="1:23" x14ac:dyDescent="0.25">
      <c r="A15" s="4" t="s">
        <v>45</v>
      </c>
      <c r="B15" s="28">
        <v>1</v>
      </c>
      <c r="C15" s="3" t="s">
        <v>10</v>
      </c>
      <c r="D15" s="29"/>
      <c r="E15" t="s">
        <v>62</v>
      </c>
    </row>
    <row r="16" spans="1:23" x14ac:dyDescent="0.25">
      <c r="A16" s="59" t="s">
        <v>60</v>
      </c>
      <c r="B16" s="28">
        <v>4</v>
      </c>
      <c r="C16" s="3" t="s">
        <v>10</v>
      </c>
      <c r="D16" s="29"/>
    </row>
    <row r="21" spans="13:17" x14ac:dyDescent="0.25">
      <c r="M21" s="60" t="s">
        <v>67</v>
      </c>
      <c r="N21">
        <v>7</v>
      </c>
      <c r="O21" t="str">
        <f>LEFT(N1,7)</f>
        <v>BDRALVZ</v>
      </c>
    </row>
    <row r="22" spans="13:17" x14ac:dyDescent="0.25">
      <c r="M22" s="60" t="s">
        <v>68</v>
      </c>
      <c r="N22">
        <v>3</v>
      </c>
      <c r="O22" t="str">
        <f>MID(N1,8,3)</f>
        <v>B16</v>
      </c>
      <c r="P22" s="60" t="s">
        <v>71</v>
      </c>
      <c r="Q22" t="s">
        <v>72</v>
      </c>
    </row>
    <row r="23" spans="13:17" x14ac:dyDescent="0.25">
      <c r="M23" s="60" t="s">
        <v>69</v>
      </c>
      <c r="N23">
        <v>8</v>
      </c>
      <c r="O23" t="str">
        <f>MID(N1,11,18)</f>
        <v>EHA%</v>
      </c>
      <c r="P23" s="60" t="s">
        <v>71</v>
      </c>
      <c r="Q23" t="s">
        <v>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11" sqref="D11"/>
    </sheetView>
  </sheetViews>
  <sheetFormatPr defaultRowHeight="15" x14ac:dyDescent="0.25"/>
  <cols>
    <col min="1" max="1" width="14.5703125" customWidth="1"/>
  </cols>
  <sheetData>
    <row r="1" spans="1:4" ht="21" x14ac:dyDescent="0.3">
      <c r="A1" s="65" t="s">
        <v>74</v>
      </c>
    </row>
    <row r="2" spans="1:4" ht="16.5" x14ac:dyDescent="0.25">
      <c r="A2" t="s">
        <v>75</v>
      </c>
    </row>
    <row r="4" spans="1:4" x14ac:dyDescent="0.25">
      <c r="A4" s="1" t="s">
        <v>78</v>
      </c>
      <c r="B4" s="1" t="s">
        <v>5</v>
      </c>
      <c r="C4" s="1" t="s">
        <v>79</v>
      </c>
    </row>
    <row r="5" spans="1:4" ht="16.5" x14ac:dyDescent="0.25">
      <c r="A5" t="s">
        <v>76</v>
      </c>
      <c r="B5" t="s">
        <v>77</v>
      </c>
      <c r="C5" t="s">
        <v>80</v>
      </c>
    </row>
    <row r="6" spans="1:4" ht="16.5" x14ac:dyDescent="0.25">
      <c r="A6" t="s">
        <v>81</v>
      </c>
      <c r="B6">
        <v>98</v>
      </c>
      <c r="C6" t="s">
        <v>83</v>
      </c>
      <c r="D6">
        <f>B6/25.4</f>
        <v>3.8582677165354333</v>
      </c>
    </row>
    <row r="7" spans="1:4" ht="16.5" x14ac:dyDescent="0.25">
      <c r="A7" t="s">
        <v>82</v>
      </c>
      <c r="B7">
        <v>68</v>
      </c>
      <c r="C7" t="s">
        <v>83</v>
      </c>
      <c r="D7">
        <f>B7/25.4</f>
        <v>2.6771653543307088</v>
      </c>
    </row>
    <row r="8" spans="1:4" ht="16.5" x14ac:dyDescent="0.25">
      <c r="A8" t="s">
        <v>84</v>
      </c>
      <c r="B8">
        <v>84</v>
      </c>
      <c r="C8" t="s">
        <v>83</v>
      </c>
      <c r="D8">
        <f>B8/25.4</f>
        <v>3.3070866141732287</v>
      </c>
    </row>
    <row r="9" spans="1:4" ht="16.5" x14ac:dyDescent="0.25">
      <c r="A9" t="s">
        <v>85</v>
      </c>
      <c r="B9">
        <v>54</v>
      </c>
      <c r="C9" t="s">
        <v>83</v>
      </c>
      <c r="D9">
        <f>B9/25.4</f>
        <v>2.1259842519685042</v>
      </c>
    </row>
    <row r="10" spans="1:4" ht="16.5" x14ac:dyDescent="0.25">
      <c r="A10" t="s">
        <v>86</v>
      </c>
      <c r="B10" t="s">
        <v>87</v>
      </c>
    </row>
    <row r="11" spans="1:4" ht="16.5" x14ac:dyDescent="0.25">
      <c r="A11" t="s">
        <v>88</v>
      </c>
      <c r="B11" t="s">
        <v>90</v>
      </c>
    </row>
    <row r="12" spans="1:4" x14ac:dyDescent="0.25">
      <c r="A12" t="s">
        <v>89</v>
      </c>
      <c r="B12" t="s">
        <v>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3" sqref="C3"/>
    </sheetView>
  </sheetViews>
  <sheetFormatPr defaultRowHeight="15" x14ac:dyDescent="0.25"/>
  <cols>
    <col min="1" max="1" width="12.5703125" customWidth="1"/>
    <col min="2" max="2" width="18" customWidth="1"/>
    <col min="3" max="3" width="45" customWidth="1"/>
    <col min="9" max="9" width="54.5703125" customWidth="1"/>
  </cols>
  <sheetData>
    <row r="1" spans="1:9" ht="18.75" x14ac:dyDescent="0.3">
      <c r="A1" s="65" t="s">
        <v>132</v>
      </c>
    </row>
    <row r="2" spans="1:9" ht="51.75" customHeight="1" x14ac:dyDescent="0.25">
      <c r="A2" s="60" t="s">
        <v>93</v>
      </c>
      <c r="I2" s="68" t="s">
        <v>92</v>
      </c>
    </row>
    <row r="3" spans="1:9" x14ac:dyDescent="0.25">
      <c r="A3" s="60" t="s">
        <v>94</v>
      </c>
      <c r="C3" t="s">
        <v>95</v>
      </c>
    </row>
    <row r="4" spans="1:9" x14ac:dyDescent="0.25">
      <c r="A4" s="52" t="s">
        <v>96</v>
      </c>
      <c r="B4" s="54" t="s">
        <v>97</v>
      </c>
    </row>
    <row r="5" spans="1:9" x14ac:dyDescent="0.25">
      <c r="A5" s="60" t="s">
        <v>98</v>
      </c>
      <c r="B5" t="s">
        <v>99</v>
      </c>
      <c r="C5" t="s">
        <v>100</v>
      </c>
    </row>
    <row r="6" spans="1:9" x14ac:dyDescent="0.25">
      <c r="B6" t="s">
        <v>101</v>
      </c>
    </row>
    <row r="7" spans="1:9" x14ac:dyDescent="0.25">
      <c r="B7" t="s">
        <v>102</v>
      </c>
    </row>
    <row r="8" spans="1:9" x14ac:dyDescent="0.25">
      <c r="B8" t="s">
        <v>103</v>
      </c>
      <c r="C8" t="s">
        <v>104</v>
      </c>
    </row>
    <row r="10" spans="1:9" x14ac:dyDescent="0.25">
      <c r="A10" s="52" t="s">
        <v>96</v>
      </c>
      <c r="B10" s="54" t="s">
        <v>97</v>
      </c>
    </row>
    <row r="11" spans="1:9" ht="36" customHeight="1" x14ac:dyDescent="0.25">
      <c r="A11" s="66" t="s">
        <v>105</v>
      </c>
      <c r="B11" s="67" t="s">
        <v>8</v>
      </c>
      <c r="C11" t="s">
        <v>111</v>
      </c>
      <c r="I11" s="68" t="s">
        <v>128</v>
      </c>
    </row>
    <row r="12" spans="1:9" x14ac:dyDescent="0.25">
      <c r="B12" t="s">
        <v>106</v>
      </c>
      <c r="C12" t="s">
        <v>108</v>
      </c>
    </row>
    <row r="13" spans="1:9" x14ac:dyDescent="0.25">
      <c r="B13" t="s">
        <v>107</v>
      </c>
      <c r="C13" t="s">
        <v>108</v>
      </c>
    </row>
    <row r="14" spans="1:9" x14ac:dyDescent="0.25">
      <c r="B14" t="s">
        <v>101</v>
      </c>
      <c r="C14" t="s">
        <v>108</v>
      </c>
    </row>
    <row r="15" spans="1:9" x14ac:dyDescent="0.25">
      <c r="B15" t="s">
        <v>102</v>
      </c>
      <c r="C15" t="s">
        <v>108</v>
      </c>
    </row>
    <row r="16" spans="1:9" x14ac:dyDescent="0.25">
      <c r="B16" t="s">
        <v>109</v>
      </c>
      <c r="C16" t="s">
        <v>131</v>
      </c>
    </row>
    <row r="18" spans="1:9" ht="38.25" customHeight="1" x14ac:dyDescent="0.25">
      <c r="A18" s="66" t="s">
        <v>110</v>
      </c>
      <c r="B18" s="67" t="s">
        <v>8</v>
      </c>
      <c r="C18" t="s">
        <v>111</v>
      </c>
      <c r="I18" s="68" t="s">
        <v>127</v>
      </c>
    </row>
    <row r="19" spans="1:9" x14ac:dyDescent="0.25">
      <c r="B19" t="s">
        <v>106</v>
      </c>
      <c r="C19" t="s">
        <v>108</v>
      </c>
    </row>
    <row r="20" spans="1:9" x14ac:dyDescent="0.25">
      <c r="B20" t="s">
        <v>107</v>
      </c>
      <c r="C20" t="s">
        <v>108</v>
      </c>
    </row>
    <row r="21" spans="1:9" x14ac:dyDescent="0.25">
      <c r="B21" t="s">
        <v>101</v>
      </c>
      <c r="C21" t="s">
        <v>108</v>
      </c>
    </row>
    <row r="22" spans="1:9" x14ac:dyDescent="0.25">
      <c r="B22" t="s">
        <v>102</v>
      </c>
      <c r="C22" t="s">
        <v>108</v>
      </c>
    </row>
    <row r="23" spans="1:9" x14ac:dyDescent="0.25">
      <c r="B23" t="s">
        <v>109</v>
      </c>
      <c r="C23" t="s">
        <v>131</v>
      </c>
    </row>
    <row r="25" spans="1:9" ht="51.75" x14ac:dyDescent="0.25">
      <c r="A25" s="66" t="s">
        <v>112</v>
      </c>
      <c r="B25" s="67" t="s">
        <v>8</v>
      </c>
      <c r="C25" t="s">
        <v>111</v>
      </c>
      <c r="I25" s="69" t="s">
        <v>126</v>
      </c>
    </row>
    <row r="26" spans="1:9" x14ac:dyDescent="0.25">
      <c r="B26" t="s">
        <v>106</v>
      </c>
    </row>
    <row r="27" spans="1:9" x14ac:dyDescent="0.25">
      <c r="B27" t="s">
        <v>107</v>
      </c>
    </row>
    <row r="28" spans="1:9" x14ac:dyDescent="0.25">
      <c r="B28" t="s">
        <v>113</v>
      </c>
      <c r="C28" t="s">
        <v>114</v>
      </c>
    </row>
    <row r="29" spans="1:9" x14ac:dyDescent="0.25">
      <c r="B29" t="s">
        <v>101</v>
      </c>
      <c r="C29" t="s">
        <v>108</v>
      </c>
    </row>
    <row r="30" spans="1:9" x14ac:dyDescent="0.25">
      <c r="B30" t="s">
        <v>102</v>
      </c>
      <c r="C30" t="s">
        <v>108</v>
      </c>
    </row>
    <row r="31" spans="1:9" x14ac:dyDescent="0.25">
      <c r="B31" t="s">
        <v>112</v>
      </c>
      <c r="C31" t="s">
        <v>115</v>
      </c>
    </row>
    <row r="32" spans="1:9" x14ac:dyDescent="0.25">
      <c r="B32" t="s">
        <v>116</v>
      </c>
      <c r="C32" t="s">
        <v>117</v>
      </c>
    </row>
    <row r="33" spans="1:9" x14ac:dyDescent="0.25">
      <c r="B33" t="s">
        <v>109</v>
      </c>
      <c r="C33" t="s">
        <v>131</v>
      </c>
    </row>
    <row r="34" spans="1:9" ht="99.75" customHeight="1" x14ac:dyDescent="0.25">
      <c r="A34" s="66" t="s">
        <v>118</v>
      </c>
      <c r="B34" s="67" t="s">
        <v>8</v>
      </c>
      <c r="C34" t="s">
        <v>111</v>
      </c>
      <c r="I34" s="68" t="s">
        <v>129</v>
      </c>
    </row>
    <row r="35" spans="1:9" x14ac:dyDescent="0.25">
      <c r="B35" t="s">
        <v>106</v>
      </c>
    </row>
    <row r="36" spans="1:9" x14ac:dyDescent="0.25">
      <c r="B36" t="s">
        <v>107</v>
      </c>
    </row>
    <row r="37" spans="1:9" x14ac:dyDescent="0.25">
      <c r="B37" t="s">
        <v>113</v>
      </c>
      <c r="C37" t="s">
        <v>114</v>
      </c>
    </row>
    <row r="38" spans="1:9" x14ac:dyDescent="0.25">
      <c r="B38" t="s">
        <v>101</v>
      </c>
      <c r="C38" t="s">
        <v>108</v>
      </c>
    </row>
    <row r="39" spans="1:9" x14ac:dyDescent="0.25">
      <c r="B39" t="s">
        <v>102</v>
      </c>
      <c r="C39" t="s">
        <v>108</v>
      </c>
    </row>
    <row r="40" spans="1:9" x14ac:dyDescent="0.25">
      <c r="B40" t="s">
        <v>112</v>
      </c>
      <c r="C40" t="s">
        <v>115</v>
      </c>
    </row>
    <row r="41" spans="1:9" x14ac:dyDescent="0.25">
      <c r="B41" t="s">
        <v>119</v>
      </c>
      <c r="C41" t="s">
        <v>133</v>
      </c>
    </row>
    <row r="42" spans="1:9" x14ac:dyDescent="0.25">
      <c r="B42" t="s">
        <v>116</v>
      </c>
      <c r="C42" t="s">
        <v>117</v>
      </c>
    </row>
    <row r="43" spans="1:9" x14ac:dyDescent="0.25">
      <c r="B43" t="s">
        <v>120</v>
      </c>
      <c r="C43" t="s">
        <v>117</v>
      </c>
    </row>
    <row r="44" spans="1:9" x14ac:dyDescent="0.25">
      <c r="B44" t="s">
        <v>121</v>
      </c>
      <c r="C44" t="s">
        <v>122</v>
      </c>
    </row>
    <row r="45" spans="1:9" x14ac:dyDescent="0.25">
      <c r="B45" t="s">
        <v>134</v>
      </c>
      <c r="C45" s="43">
        <v>0.75</v>
      </c>
    </row>
    <row r="46" spans="1:9" x14ac:dyDescent="0.25">
      <c r="B46" t="s">
        <v>135</v>
      </c>
      <c r="C46" s="43">
        <v>0.01</v>
      </c>
    </row>
    <row r="47" spans="1:9" x14ac:dyDescent="0.25">
      <c r="B47" t="s">
        <v>109</v>
      </c>
      <c r="C47" t="s">
        <v>131</v>
      </c>
    </row>
    <row r="49" spans="1:9" ht="39.75" customHeight="1" x14ac:dyDescent="0.25">
      <c r="A49" s="60" t="s">
        <v>123</v>
      </c>
      <c r="B49" t="s">
        <v>8</v>
      </c>
      <c r="C49" t="s">
        <v>111</v>
      </c>
      <c r="I49" s="69" t="s">
        <v>130</v>
      </c>
    </row>
    <row r="50" spans="1:9" x14ac:dyDescent="0.25">
      <c r="B50" t="s">
        <v>106</v>
      </c>
    </row>
    <row r="51" spans="1:9" x14ac:dyDescent="0.25">
      <c r="B51" t="s">
        <v>107</v>
      </c>
    </row>
    <row r="52" spans="1:9" x14ac:dyDescent="0.25">
      <c r="B52" t="s">
        <v>101</v>
      </c>
      <c r="C52" t="s">
        <v>108</v>
      </c>
    </row>
    <row r="53" spans="1:9" x14ac:dyDescent="0.25">
      <c r="B53" t="s">
        <v>102</v>
      </c>
      <c r="C53" t="s">
        <v>108</v>
      </c>
    </row>
    <row r="54" spans="1:9" x14ac:dyDescent="0.25">
      <c r="B54" t="s">
        <v>124</v>
      </c>
      <c r="C54" t="s">
        <v>125</v>
      </c>
    </row>
    <row r="55" spans="1:9" x14ac:dyDescent="0.25">
      <c r="B55" t="s">
        <v>109</v>
      </c>
      <c r="C55" t="s">
        <v>131</v>
      </c>
    </row>
  </sheetData>
  <pageMargins left="0.7" right="0.7" top="0.75" bottom="0.75" header="0.3" footer="0.3"/>
  <pageSetup paperSize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0"/>
  <sheetViews>
    <sheetView topLeftCell="A16" workbookViewId="0">
      <selection activeCell="G30" sqref="G30"/>
    </sheetView>
  </sheetViews>
  <sheetFormatPr defaultRowHeight="15" x14ac:dyDescent="0.25"/>
  <cols>
    <col min="6" max="6" width="6.140625" customWidth="1"/>
    <col min="8" max="8" width="11" customWidth="1"/>
    <col min="9" max="9" width="6.42578125" customWidth="1"/>
    <col min="10" max="10" width="12.7109375" customWidth="1"/>
  </cols>
  <sheetData>
    <row r="1" spans="1:19" x14ac:dyDescent="0.25">
      <c r="E1" s="76" t="s">
        <v>83</v>
      </c>
      <c r="G1" s="76" t="s">
        <v>137</v>
      </c>
      <c r="H1" t="s">
        <v>138</v>
      </c>
      <c r="J1" s="80" t="s">
        <v>140</v>
      </c>
      <c r="K1" t="s">
        <v>175</v>
      </c>
      <c r="S1" s="92"/>
    </row>
    <row r="2" spans="1:19" ht="15.75" thickBot="1" x14ac:dyDescent="0.3">
      <c r="E2" s="77"/>
      <c r="G2" s="77"/>
      <c r="J2" s="77"/>
    </row>
    <row r="3" spans="1:19" x14ac:dyDescent="0.25">
      <c r="B3" t="s">
        <v>139</v>
      </c>
      <c r="D3" s="70" t="s">
        <v>101</v>
      </c>
      <c r="E3" s="78">
        <v>89</v>
      </c>
      <c r="F3" s="71"/>
      <c r="G3" s="78">
        <v>3.5</v>
      </c>
      <c r="H3" s="72">
        <f>G3*2.5416</f>
        <v>8.8956</v>
      </c>
      <c r="I3" s="71"/>
      <c r="J3" s="93">
        <f>G3*300</f>
        <v>1050</v>
      </c>
      <c r="K3" s="83">
        <f>G3*203</f>
        <v>710.5</v>
      </c>
    </row>
    <row r="4" spans="1:19" ht="15.75" thickBot="1" x14ac:dyDescent="0.3">
      <c r="D4" s="73" t="s">
        <v>136</v>
      </c>
      <c r="E4" s="79">
        <v>57</v>
      </c>
      <c r="F4" s="74"/>
      <c r="G4" s="79">
        <v>2.2400000000000002</v>
      </c>
      <c r="H4" s="75">
        <f>G4*2.5416</f>
        <v>5.6931840000000005</v>
      </c>
      <c r="I4" s="74"/>
      <c r="J4" s="94">
        <f>G4*300</f>
        <v>672.00000000000011</v>
      </c>
      <c r="K4" s="83">
        <f>G4*203</f>
        <v>454.72</v>
      </c>
    </row>
    <row r="7" spans="1:19" x14ac:dyDescent="0.25">
      <c r="H7" t="s">
        <v>377</v>
      </c>
      <c r="I7">
        <f>J3/H3</f>
        <v>118.03588290840416</v>
      </c>
    </row>
    <row r="8" spans="1:19" x14ac:dyDescent="0.25">
      <c r="B8" t="s">
        <v>141</v>
      </c>
      <c r="C8" t="s">
        <v>142</v>
      </c>
      <c r="D8" t="s">
        <v>143</v>
      </c>
      <c r="I8">
        <f>J4/H4</f>
        <v>118.03588290840416</v>
      </c>
    </row>
    <row r="11" spans="1:19" x14ac:dyDescent="0.25">
      <c r="A11" t="s">
        <v>144</v>
      </c>
    </row>
    <row r="13" spans="1:19" x14ac:dyDescent="0.25">
      <c r="B13" s="81" t="s">
        <v>145</v>
      </c>
      <c r="C13" s="81" t="s">
        <v>146</v>
      </c>
      <c r="D13" t="s">
        <v>60</v>
      </c>
    </row>
    <row r="15" spans="1:19" x14ac:dyDescent="0.25">
      <c r="B15">
        <v>50</v>
      </c>
      <c r="C15">
        <v>24</v>
      </c>
      <c r="D15" t="s">
        <v>147</v>
      </c>
      <c r="E15" s="60" t="s">
        <v>176</v>
      </c>
    </row>
    <row r="16" spans="1:19" x14ac:dyDescent="0.25">
      <c r="G16" t="s">
        <v>179</v>
      </c>
    </row>
    <row r="17" spans="1:10" x14ac:dyDescent="0.25">
      <c r="B17">
        <v>50</v>
      </c>
      <c r="C17">
        <v>70</v>
      </c>
      <c r="D17" t="s">
        <v>147</v>
      </c>
      <c r="E17" s="60" t="s">
        <v>148</v>
      </c>
      <c r="G17">
        <f>LEN(E17)*12</f>
        <v>60</v>
      </c>
    </row>
    <row r="18" spans="1:10" x14ac:dyDescent="0.25">
      <c r="B18" t="s">
        <v>151</v>
      </c>
      <c r="C18">
        <v>70</v>
      </c>
      <c r="D18" t="s">
        <v>149</v>
      </c>
      <c r="E18" t="s">
        <v>150</v>
      </c>
    </row>
    <row r="19" spans="1:10" x14ac:dyDescent="0.25">
      <c r="B19">
        <v>570</v>
      </c>
      <c r="C19">
        <v>70</v>
      </c>
      <c r="D19" t="s">
        <v>147</v>
      </c>
      <c r="E19" s="60" t="s">
        <v>152</v>
      </c>
    </row>
    <row r="20" spans="1:10" x14ac:dyDescent="0.25">
      <c r="C20">
        <v>70</v>
      </c>
      <c r="D20" t="s">
        <v>149</v>
      </c>
      <c r="E20" t="s">
        <v>153</v>
      </c>
    </row>
    <row r="22" spans="1:10" x14ac:dyDescent="0.25">
      <c r="B22">
        <v>50</v>
      </c>
      <c r="C22">
        <v>115</v>
      </c>
      <c r="D22" t="s">
        <v>147</v>
      </c>
      <c r="E22" s="60" t="s">
        <v>154</v>
      </c>
    </row>
    <row r="23" spans="1:10" x14ac:dyDescent="0.25">
      <c r="B23" t="s">
        <v>155</v>
      </c>
      <c r="C23">
        <v>115</v>
      </c>
      <c r="D23" t="s">
        <v>149</v>
      </c>
      <c r="E23" t="s">
        <v>156</v>
      </c>
      <c r="G23" s="100" t="s">
        <v>266</v>
      </c>
    </row>
    <row r="24" spans="1:10" x14ac:dyDescent="0.25">
      <c r="G24" s="100" t="s">
        <v>267</v>
      </c>
    </row>
    <row r="25" spans="1:10" x14ac:dyDescent="0.25">
      <c r="B25">
        <v>50</v>
      </c>
      <c r="C25">
        <v>156</v>
      </c>
      <c r="D25" t="s">
        <v>147</v>
      </c>
      <c r="E25" s="60" t="s">
        <v>157</v>
      </c>
      <c r="G25" s="100" t="s">
        <v>268</v>
      </c>
    </row>
    <row r="26" spans="1:10" x14ac:dyDescent="0.25">
      <c r="B26">
        <v>170</v>
      </c>
      <c r="C26">
        <v>156</v>
      </c>
      <c r="D26" t="s">
        <v>149</v>
      </c>
      <c r="E26" t="s">
        <v>158</v>
      </c>
      <c r="G26" s="100" t="s">
        <v>269</v>
      </c>
    </row>
    <row r="27" spans="1:10" x14ac:dyDescent="0.25">
      <c r="G27" s="100" t="s">
        <v>270</v>
      </c>
    </row>
    <row r="28" spans="1:10" x14ac:dyDescent="0.25">
      <c r="G28" s="100" t="s">
        <v>271</v>
      </c>
    </row>
    <row r="29" spans="1:10" x14ac:dyDescent="0.25">
      <c r="A29" t="s">
        <v>159</v>
      </c>
      <c r="C29" t="s">
        <v>265</v>
      </c>
    </row>
    <row r="30" spans="1:10" x14ac:dyDescent="0.25">
      <c r="B30" s="81" t="s">
        <v>145</v>
      </c>
      <c r="C30" s="81" t="s">
        <v>146</v>
      </c>
      <c r="G30" t="s">
        <v>164</v>
      </c>
      <c r="H30" t="s">
        <v>163</v>
      </c>
      <c r="I30" t="s">
        <v>162</v>
      </c>
      <c r="J30" s="100" t="s">
        <v>273</v>
      </c>
    </row>
    <row r="31" spans="1:10" x14ac:dyDescent="0.25">
      <c r="B31">
        <v>50</v>
      </c>
      <c r="C31">
        <v>330</v>
      </c>
      <c r="E31" t="s">
        <v>160</v>
      </c>
      <c r="F31" t="s">
        <v>177</v>
      </c>
      <c r="G31" s="60">
        <v>472</v>
      </c>
      <c r="H31">
        <v>0</v>
      </c>
      <c r="I31">
        <v>4</v>
      </c>
      <c r="J31" s="100" t="s">
        <v>272</v>
      </c>
    </row>
    <row r="32" spans="1:10" x14ac:dyDescent="0.25">
      <c r="B32">
        <v>170</v>
      </c>
      <c r="C32">
        <v>330</v>
      </c>
      <c r="E32" t="s">
        <v>160</v>
      </c>
      <c r="F32" t="s">
        <v>161</v>
      </c>
      <c r="G32">
        <v>0</v>
      </c>
      <c r="H32">
        <v>18</v>
      </c>
      <c r="I32">
        <v>4</v>
      </c>
      <c r="J32" s="100"/>
    </row>
    <row r="33" spans="1:21" x14ac:dyDescent="0.25">
      <c r="B33">
        <v>280</v>
      </c>
      <c r="C33">
        <v>330</v>
      </c>
      <c r="E33" t="s">
        <v>160</v>
      </c>
      <c r="F33" t="s">
        <v>161</v>
      </c>
      <c r="G33">
        <v>0</v>
      </c>
      <c r="H33">
        <v>18</v>
      </c>
      <c r="I33">
        <v>4</v>
      </c>
    </row>
    <row r="34" spans="1:21" x14ac:dyDescent="0.25">
      <c r="B34">
        <v>50</v>
      </c>
      <c r="C34">
        <v>408</v>
      </c>
      <c r="E34" t="s">
        <v>160</v>
      </c>
      <c r="F34" t="s">
        <v>178</v>
      </c>
      <c r="G34" s="60">
        <v>472</v>
      </c>
      <c r="H34">
        <v>0</v>
      </c>
      <c r="I34">
        <v>4</v>
      </c>
    </row>
    <row r="35" spans="1:21" x14ac:dyDescent="0.25">
      <c r="B35">
        <v>170</v>
      </c>
      <c r="C35">
        <v>408</v>
      </c>
      <c r="E35" t="s">
        <v>160</v>
      </c>
      <c r="F35" t="s">
        <v>161</v>
      </c>
      <c r="G35">
        <v>0</v>
      </c>
      <c r="H35">
        <v>18</v>
      </c>
      <c r="I35">
        <v>4</v>
      </c>
    </row>
    <row r="36" spans="1:21" x14ac:dyDescent="0.25">
      <c r="N36">
        <v>252</v>
      </c>
      <c r="O36">
        <f>N36/4</f>
        <v>63</v>
      </c>
      <c r="P36">
        <f>N36/4</f>
        <v>63</v>
      </c>
      <c r="Q36">
        <f>O36*P36</f>
        <v>3969</v>
      </c>
      <c r="R36">
        <f>Q36*2</f>
        <v>7938</v>
      </c>
      <c r="U36">
        <f>N36/8</f>
        <v>31.5</v>
      </c>
    </row>
    <row r="37" spans="1:21" x14ac:dyDescent="0.25">
      <c r="A37" t="s">
        <v>165</v>
      </c>
      <c r="G37" s="82" t="s">
        <v>169</v>
      </c>
      <c r="M37" t="s">
        <v>264</v>
      </c>
      <c r="N37">
        <v>192</v>
      </c>
      <c r="O37">
        <f>N37/4</f>
        <v>48</v>
      </c>
      <c r="P37">
        <f>N37/4</f>
        <v>48</v>
      </c>
      <c r="Q37">
        <f>O37*P37</f>
        <v>2304</v>
      </c>
      <c r="R37">
        <f>Q37*2</f>
        <v>4608</v>
      </c>
      <c r="U37" t="s">
        <v>263</v>
      </c>
    </row>
    <row r="38" spans="1:21" x14ac:dyDescent="0.25">
      <c r="F38" t="s">
        <v>166</v>
      </c>
      <c r="H38" t="s">
        <v>167</v>
      </c>
      <c r="M38" t="s">
        <v>262</v>
      </c>
      <c r="N38">
        <v>240</v>
      </c>
      <c r="O38">
        <f>N38/4</f>
        <v>60</v>
      </c>
      <c r="P38">
        <f>N38/4</f>
        <v>60</v>
      </c>
      <c r="Q38">
        <f>O38*P38</f>
        <v>3600</v>
      </c>
      <c r="R38">
        <f>Q38*2</f>
        <v>7200</v>
      </c>
      <c r="U38">
        <f>240/8</f>
        <v>30</v>
      </c>
    </row>
    <row r="39" spans="1:21" x14ac:dyDescent="0.25">
      <c r="B39">
        <v>205</v>
      </c>
      <c r="C39">
        <v>500</v>
      </c>
      <c r="D39" t="s">
        <v>170</v>
      </c>
      <c r="E39" t="s">
        <v>171</v>
      </c>
      <c r="F39" s="60">
        <v>120</v>
      </c>
      <c r="G39" t="s">
        <v>7</v>
      </c>
      <c r="H39" t="s">
        <v>168</v>
      </c>
      <c r="R39">
        <v>7680</v>
      </c>
      <c r="U39" s="92">
        <v>30</v>
      </c>
    </row>
    <row r="40" spans="1:21" x14ac:dyDescent="0.25">
      <c r="B40">
        <v>300</v>
      </c>
      <c r="C40">
        <v>628</v>
      </c>
      <c r="D40" t="s">
        <v>149</v>
      </c>
      <c r="H40" t="s">
        <v>168</v>
      </c>
    </row>
    <row r="41" spans="1:21" x14ac:dyDescent="0.25">
      <c r="H41" s="84">
        <f>SQRT(L42)</f>
        <v>33.941125496954278</v>
      </c>
      <c r="I41" s="85">
        <v>33.94</v>
      </c>
      <c r="J41" s="85"/>
      <c r="K41" s="85">
        <f>H41*I41</f>
        <v>1151.9617993666282</v>
      </c>
      <c r="L41" s="85" t="s">
        <v>180</v>
      </c>
      <c r="M41" s="86"/>
      <c r="P41" t="s">
        <v>181</v>
      </c>
    </row>
    <row r="42" spans="1:21" x14ac:dyDescent="0.25">
      <c r="A42" t="s">
        <v>172</v>
      </c>
      <c r="H42" s="87">
        <v>96</v>
      </c>
      <c r="I42" s="88">
        <v>96</v>
      </c>
      <c r="J42" s="88">
        <f>H42*I42</f>
        <v>9216</v>
      </c>
      <c r="K42" s="88"/>
      <c r="L42" s="88">
        <v>1152</v>
      </c>
      <c r="M42" s="89">
        <f>J42/L42</f>
        <v>8</v>
      </c>
      <c r="P42">
        <f>J42/4</f>
        <v>2304</v>
      </c>
      <c r="R42">
        <f>SQRT(P42)</f>
        <v>48</v>
      </c>
    </row>
    <row r="43" spans="1:21" x14ac:dyDescent="0.25">
      <c r="B43">
        <v>565</v>
      </c>
      <c r="C43">
        <v>320</v>
      </c>
      <c r="E43" t="s">
        <v>173</v>
      </c>
      <c r="H43">
        <v>255</v>
      </c>
      <c r="I43">
        <v>255</v>
      </c>
      <c r="J43">
        <f>H43*I43</f>
        <v>65025</v>
      </c>
      <c r="L43">
        <v>8160</v>
      </c>
      <c r="M43">
        <f>J43/L43</f>
        <v>7.96875</v>
      </c>
      <c r="S43" t="s">
        <v>186</v>
      </c>
    </row>
    <row r="44" spans="1:21" x14ac:dyDescent="0.25">
      <c r="B44">
        <v>770</v>
      </c>
      <c r="C44">
        <v>140</v>
      </c>
      <c r="E44" t="s">
        <v>174</v>
      </c>
      <c r="H44">
        <f>H43/4</f>
        <v>63.75</v>
      </c>
      <c r="I44">
        <f>I43/4</f>
        <v>63.75</v>
      </c>
      <c r="L44">
        <f>H44*I44</f>
        <v>4064.0625</v>
      </c>
      <c r="O44">
        <f>96/4</f>
        <v>24</v>
      </c>
      <c r="P44">
        <v>24</v>
      </c>
      <c r="Q44">
        <f>O44*P44</f>
        <v>576</v>
      </c>
      <c r="R44">
        <f>Q44*2</f>
        <v>1152</v>
      </c>
      <c r="S44">
        <f>R44/2</f>
        <v>576</v>
      </c>
    </row>
    <row r="45" spans="1:21" x14ac:dyDescent="0.25">
      <c r="L45">
        <f>SQRT(L43)</f>
        <v>90.332718325089715</v>
      </c>
      <c r="O45" t="s">
        <v>182</v>
      </c>
      <c r="P45" t="s">
        <v>182</v>
      </c>
      <c r="Q45" t="s">
        <v>183</v>
      </c>
      <c r="R45" t="s">
        <v>184</v>
      </c>
    </row>
    <row r="46" spans="1:21" x14ac:dyDescent="0.25">
      <c r="H46">
        <v>90</v>
      </c>
      <c r="I46">
        <v>90</v>
      </c>
      <c r="L46">
        <f>H46*I46</f>
        <v>8100</v>
      </c>
    </row>
    <row r="47" spans="1:21" x14ac:dyDescent="0.25">
      <c r="O47" s="82" t="s">
        <v>185</v>
      </c>
    </row>
    <row r="48" spans="1:21" x14ac:dyDescent="0.25">
      <c r="O48">
        <f>22*24</f>
        <v>528</v>
      </c>
      <c r="P48">
        <v>24</v>
      </c>
      <c r="R48">
        <f>(O48+P48)*2</f>
        <v>1104</v>
      </c>
    </row>
    <row r="75" spans="9:9" x14ac:dyDescent="0.25">
      <c r="I75" s="101" t="s">
        <v>274</v>
      </c>
    </row>
    <row r="76" spans="9:9" x14ac:dyDescent="0.25">
      <c r="I76" s="101" t="s">
        <v>275</v>
      </c>
    </row>
    <row r="77" spans="9:9" x14ac:dyDescent="0.25">
      <c r="I77" s="101" t="s">
        <v>276</v>
      </c>
    </row>
    <row r="78" spans="9:9" x14ac:dyDescent="0.25">
      <c r="I78" s="101" t="s">
        <v>277</v>
      </c>
    </row>
    <row r="79" spans="9:9" x14ac:dyDescent="0.25">
      <c r="I79" s="101" t="s">
        <v>278</v>
      </c>
    </row>
    <row r="80" spans="9:9" x14ac:dyDescent="0.25">
      <c r="I80" s="101" t="s">
        <v>279</v>
      </c>
    </row>
    <row r="81" spans="1:14" x14ac:dyDescent="0.25">
      <c r="I81" s="101" t="s">
        <v>280</v>
      </c>
    </row>
    <row r="82" spans="1:14" x14ac:dyDescent="0.25">
      <c r="I82" s="101" t="s">
        <v>281</v>
      </c>
    </row>
    <row r="83" spans="1:14" x14ac:dyDescent="0.25">
      <c r="I83" s="101" t="s">
        <v>282</v>
      </c>
    </row>
    <row r="84" spans="1:14" x14ac:dyDescent="0.25">
      <c r="I84" s="101" t="s">
        <v>283</v>
      </c>
    </row>
    <row r="85" spans="1:14" x14ac:dyDescent="0.25">
      <c r="I85" s="101" t="s">
        <v>284</v>
      </c>
    </row>
    <row r="86" spans="1:14" x14ac:dyDescent="0.25">
      <c r="I86" s="101" t="s">
        <v>285</v>
      </c>
    </row>
    <row r="87" spans="1:14" x14ac:dyDescent="0.25">
      <c r="I87" s="101" t="s">
        <v>286</v>
      </c>
    </row>
    <row r="88" spans="1:14" x14ac:dyDescent="0.25">
      <c r="I88" s="101" t="s">
        <v>287</v>
      </c>
    </row>
    <row r="94" spans="1:14" x14ac:dyDescent="0.25">
      <c r="I94" t="s">
        <v>300</v>
      </c>
      <c r="N94" t="s">
        <v>301</v>
      </c>
    </row>
    <row r="95" spans="1:14" x14ac:dyDescent="0.25">
      <c r="A95" s="101" t="s">
        <v>294</v>
      </c>
      <c r="B95" t="s">
        <v>295</v>
      </c>
    </row>
    <row r="96" spans="1:14" x14ac:dyDescent="0.25">
      <c r="I96" t="s">
        <v>298</v>
      </c>
    </row>
    <row r="97" spans="1:19" x14ac:dyDescent="0.25">
      <c r="A97" s="101" t="s">
        <v>288</v>
      </c>
      <c r="C97" t="s">
        <v>289</v>
      </c>
      <c r="E97" t="s">
        <v>290</v>
      </c>
      <c r="I97" t="s">
        <v>304</v>
      </c>
    </row>
    <row r="98" spans="1:19" x14ac:dyDescent="0.25">
      <c r="A98" s="101" t="s">
        <v>291</v>
      </c>
      <c r="C98" t="s">
        <v>292</v>
      </c>
      <c r="F98" t="s">
        <v>293</v>
      </c>
      <c r="I98" t="s">
        <v>296</v>
      </c>
    </row>
    <row r="100" spans="1:19" x14ac:dyDescent="0.25">
      <c r="I100" s="101" t="s">
        <v>299</v>
      </c>
      <c r="O100" t="s">
        <v>303</v>
      </c>
    </row>
    <row r="101" spans="1:19" x14ac:dyDescent="0.25">
      <c r="I101" s="101" t="s">
        <v>276</v>
      </c>
    </row>
    <row r="102" spans="1:19" x14ac:dyDescent="0.25">
      <c r="I102" s="101" t="s">
        <v>277</v>
      </c>
      <c r="O102" t="s">
        <v>297</v>
      </c>
    </row>
    <row r="103" spans="1:19" x14ac:dyDescent="0.25">
      <c r="I103" s="101" t="s">
        <v>305</v>
      </c>
    </row>
    <row r="105" spans="1:19" x14ac:dyDescent="0.25">
      <c r="J105" t="s">
        <v>302</v>
      </c>
    </row>
    <row r="107" spans="1:19" x14ac:dyDescent="0.25">
      <c r="I107" t="s">
        <v>307</v>
      </c>
    </row>
    <row r="108" spans="1:19" x14ac:dyDescent="0.25">
      <c r="I108" s="101" t="s">
        <v>306</v>
      </c>
    </row>
    <row r="109" spans="1:19" x14ac:dyDescent="0.25">
      <c r="J109" t="s">
        <v>308</v>
      </c>
    </row>
    <row r="110" spans="1:19" x14ac:dyDescent="0.25">
      <c r="S110" t="s">
        <v>87</v>
      </c>
    </row>
    <row r="111" spans="1:19" x14ac:dyDescent="0.25">
      <c r="I111" t="s">
        <v>313</v>
      </c>
      <c r="S111" t="s">
        <v>316</v>
      </c>
    </row>
    <row r="112" spans="1:19" x14ac:dyDescent="0.25">
      <c r="I112" s="101" t="s">
        <v>309</v>
      </c>
      <c r="S112" s="60" t="s">
        <v>315</v>
      </c>
    </row>
    <row r="113" spans="9:19" x14ac:dyDescent="0.25">
      <c r="I113" s="101" t="s">
        <v>310</v>
      </c>
      <c r="S113" t="s">
        <v>314</v>
      </c>
    </row>
    <row r="114" spans="9:19" x14ac:dyDescent="0.25">
      <c r="I114" s="101" t="s">
        <v>311</v>
      </c>
      <c r="S114" t="s">
        <v>314</v>
      </c>
    </row>
    <row r="115" spans="9:19" x14ac:dyDescent="0.25">
      <c r="I115" s="101" t="s">
        <v>312</v>
      </c>
      <c r="S115" t="s">
        <v>314</v>
      </c>
    </row>
    <row r="117" spans="9:19" x14ac:dyDescent="0.25">
      <c r="I117" s="101" t="s">
        <v>324</v>
      </c>
    </row>
    <row r="118" spans="9:19" x14ac:dyDescent="0.25">
      <c r="I118" s="104" t="s">
        <v>329</v>
      </c>
      <c r="J118" s="104"/>
    </row>
    <row r="119" spans="9:19" x14ac:dyDescent="0.25">
      <c r="I119" s="104" t="s">
        <v>317</v>
      </c>
      <c r="J119" s="104"/>
    </row>
    <row r="120" spans="9:19" x14ac:dyDescent="0.25">
      <c r="I120" s="104" t="s">
        <v>318</v>
      </c>
      <c r="J120" s="104"/>
    </row>
    <row r="121" spans="9:19" x14ac:dyDescent="0.25">
      <c r="I121" s="104" t="s">
        <v>319</v>
      </c>
      <c r="J121" s="104"/>
    </row>
    <row r="122" spans="9:19" x14ac:dyDescent="0.25">
      <c r="I122" s="104" t="s">
        <v>320</v>
      </c>
      <c r="J122" s="104"/>
    </row>
    <row r="123" spans="9:19" x14ac:dyDescent="0.25">
      <c r="I123" s="104" t="s">
        <v>321</v>
      </c>
      <c r="J123" s="104"/>
    </row>
    <row r="124" spans="9:19" x14ac:dyDescent="0.25">
      <c r="I124" t="s">
        <v>322</v>
      </c>
      <c r="Q124" t="s">
        <v>335</v>
      </c>
    </row>
    <row r="125" spans="9:19" x14ac:dyDescent="0.25">
      <c r="I125" t="s">
        <v>323</v>
      </c>
    </row>
    <row r="127" spans="9:19" x14ac:dyDescent="0.25">
      <c r="I127" t="s">
        <v>330</v>
      </c>
    </row>
    <row r="128" spans="9:19" x14ac:dyDescent="0.25">
      <c r="I128" t="s">
        <v>331</v>
      </c>
      <c r="R128" t="s">
        <v>340</v>
      </c>
    </row>
    <row r="129" spans="9:16" x14ac:dyDescent="0.25">
      <c r="I129" t="s">
        <v>332</v>
      </c>
      <c r="P129" t="s">
        <v>336</v>
      </c>
    </row>
    <row r="130" spans="9:16" x14ac:dyDescent="0.25">
      <c r="I130" t="s">
        <v>333</v>
      </c>
    </row>
    <row r="131" spans="9:16" x14ac:dyDescent="0.25">
      <c r="I131" t="s">
        <v>334</v>
      </c>
    </row>
    <row r="133" spans="9:16" x14ac:dyDescent="0.25">
      <c r="I133" t="s">
        <v>325</v>
      </c>
    </row>
    <row r="134" spans="9:16" x14ac:dyDescent="0.25">
      <c r="I134" t="s">
        <v>326</v>
      </c>
    </row>
    <row r="135" spans="9:16" x14ac:dyDescent="0.25">
      <c r="I135" t="s">
        <v>327</v>
      </c>
      <c r="P135" t="s">
        <v>336</v>
      </c>
    </row>
    <row r="136" spans="9:16" x14ac:dyDescent="0.25">
      <c r="I136" t="s">
        <v>328</v>
      </c>
    </row>
    <row r="138" spans="9:16" x14ac:dyDescent="0.25">
      <c r="I138" t="s">
        <v>337</v>
      </c>
    </row>
    <row r="139" spans="9:16" x14ac:dyDescent="0.25">
      <c r="I139" t="s">
        <v>339</v>
      </c>
    </row>
    <row r="140" spans="9:16" x14ac:dyDescent="0.25">
      <c r="I140" t="s">
        <v>338</v>
      </c>
    </row>
  </sheetData>
  <pageMargins left="0.7" right="0.7" top="0.75" bottom="0.75" header="0.3" footer="0.3"/>
  <pageSetup paperSize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K40"/>
  <sheetViews>
    <sheetView topLeftCell="A3" workbookViewId="0">
      <selection activeCell="H13" sqref="H13"/>
    </sheetView>
  </sheetViews>
  <sheetFormatPr defaultRowHeight="15" x14ac:dyDescent="0.25"/>
  <sheetData>
    <row r="3" spans="1:7" x14ac:dyDescent="0.25">
      <c r="A3" t="s">
        <v>187</v>
      </c>
      <c r="E3" t="s">
        <v>206</v>
      </c>
    </row>
    <row r="4" spans="1:7" x14ac:dyDescent="0.25">
      <c r="E4" t="s">
        <v>218</v>
      </c>
    </row>
    <row r="5" spans="1:7" x14ac:dyDescent="0.25">
      <c r="A5" t="s">
        <v>188</v>
      </c>
      <c r="D5" t="s">
        <v>207</v>
      </c>
      <c r="F5" t="s">
        <v>208</v>
      </c>
    </row>
    <row r="6" spans="1:7" x14ac:dyDescent="0.25">
      <c r="F6" t="s">
        <v>209</v>
      </c>
    </row>
    <row r="7" spans="1:7" x14ac:dyDescent="0.25">
      <c r="A7" t="s">
        <v>189</v>
      </c>
      <c r="E7" t="s">
        <v>211</v>
      </c>
      <c r="G7" t="s">
        <v>210</v>
      </c>
    </row>
    <row r="8" spans="1:7" x14ac:dyDescent="0.25">
      <c r="E8" t="s">
        <v>212</v>
      </c>
    </row>
    <row r="9" spans="1:7" x14ac:dyDescent="0.25">
      <c r="E9" t="s">
        <v>214</v>
      </c>
    </row>
    <row r="10" spans="1:7" x14ac:dyDescent="0.25">
      <c r="F10" t="s">
        <v>208</v>
      </c>
    </row>
    <row r="11" spans="1:7" x14ac:dyDescent="0.25">
      <c r="F11" t="s">
        <v>209</v>
      </c>
    </row>
    <row r="12" spans="1:7" x14ac:dyDescent="0.25">
      <c r="F12" t="s">
        <v>213</v>
      </c>
    </row>
    <row r="13" spans="1:7" x14ac:dyDescent="0.25">
      <c r="E13" t="s">
        <v>215</v>
      </c>
      <c r="G13" t="s">
        <v>230</v>
      </c>
    </row>
    <row r="14" spans="1:7" x14ac:dyDescent="0.25">
      <c r="F14" t="s">
        <v>216</v>
      </c>
    </row>
    <row r="15" spans="1:7" x14ac:dyDescent="0.25">
      <c r="F15" t="s">
        <v>217</v>
      </c>
    </row>
    <row r="16" spans="1:7" x14ac:dyDescent="0.25">
      <c r="F16" t="s">
        <v>219</v>
      </c>
    </row>
    <row r="17" spans="1:11" x14ac:dyDescent="0.25">
      <c r="F17" t="s">
        <v>220</v>
      </c>
    </row>
    <row r="18" spans="1:11" x14ac:dyDescent="0.25">
      <c r="F18" t="s">
        <v>221</v>
      </c>
    </row>
    <row r="20" spans="1:11" x14ac:dyDescent="0.25">
      <c r="A20" t="s">
        <v>190</v>
      </c>
      <c r="E20" t="s">
        <v>200</v>
      </c>
    </row>
    <row r="21" spans="1:11" x14ac:dyDescent="0.25">
      <c r="E21" t="s">
        <v>196</v>
      </c>
      <c r="G21" t="s">
        <v>223</v>
      </c>
      <c r="K21" t="s">
        <v>224</v>
      </c>
    </row>
    <row r="22" spans="1:11" x14ac:dyDescent="0.25">
      <c r="G22" t="s">
        <v>222</v>
      </c>
      <c r="K22" t="s">
        <v>225</v>
      </c>
    </row>
    <row r="26" spans="1:11" x14ac:dyDescent="0.25">
      <c r="A26" t="s">
        <v>188</v>
      </c>
      <c r="E26" t="s">
        <v>194</v>
      </c>
      <c r="G26" t="s">
        <v>195</v>
      </c>
    </row>
    <row r="27" spans="1:11" x14ac:dyDescent="0.25">
      <c r="E27" t="s">
        <v>196</v>
      </c>
      <c r="G27" t="s">
        <v>197</v>
      </c>
    </row>
    <row r="28" spans="1:11" x14ac:dyDescent="0.25">
      <c r="G28" t="s">
        <v>198</v>
      </c>
    </row>
    <row r="29" spans="1:11" x14ac:dyDescent="0.25">
      <c r="G29" t="s">
        <v>199</v>
      </c>
    </row>
    <row r="30" spans="1:11" x14ac:dyDescent="0.25">
      <c r="E30" t="s">
        <v>200</v>
      </c>
      <c r="G30" t="s">
        <v>201</v>
      </c>
    </row>
    <row r="31" spans="1:11" x14ac:dyDescent="0.25">
      <c r="G31" t="s">
        <v>202</v>
      </c>
    </row>
    <row r="32" spans="1:11" x14ac:dyDescent="0.25">
      <c r="E32" s="60" t="s">
        <v>205</v>
      </c>
    </row>
    <row r="33" spans="1:11" x14ac:dyDescent="0.25">
      <c r="E33" s="60" t="s">
        <v>204</v>
      </c>
    </row>
    <row r="34" spans="1:11" x14ac:dyDescent="0.25">
      <c r="A34" t="s">
        <v>193</v>
      </c>
      <c r="E34" t="s">
        <v>203</v>
      </c>
    </row>
    <row r="36" spans="1:11" x14ac:dyDescent="0.25">
      <c r="A36" t="s">
        <v>192</v>
      </c>
      <c r="E36" t="s">
        <v>227</v>
      </c>
      <c r="K36" t="s">
        <v>228</v>
      </c>
    </row>
    <row r="37" spans="1:11" x14ac:dyDescent="0.25">
      <c r="E37" t="s">
        <v>226</v>
      </c>
      <c r="G37" t="s">
        <v>229</v>
      </c>
      <c r="K37" s="90" t="s">
        <v>251</v>
      </c>
    </row>
    <row r="40" spans="1:11" x14ac:dyDescent="0.25">
      <c r="A40" t="s">
        <v>191</v>
      </c>
    </row>
  </sheetData>
  <pageMargins left="0.25" right="0.25" top="0.75" bottom="0.75" header="0.3" footer="0.3"/>
  <pageSetup scale="80" orientation="landscape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C4" sqref="C4"/>
    </sheetView>
  </sheetViews>
  <sheetFormatPr defaultRowHeight="15" x14ac:dyDescent="0.25"/>
  <sheetData>
    <row r="1" spans="1:1" x14ac:dyDescent="0.25">
      <c r="A1" t="s">
        <v>231</v>
      </c>
    </row>
    <row r="2" spans="1:1" x14ac:dyDescent="0.25">
      <c r="A2" t="s">
        <v>232</v>
      </c>
    </row>
    <row r="3" spans="1:1" x14ac:dyDescent="0.25">
      <c r="A3" t="s">
        <v>233</v>
      </c>
    </row>
    <row r="4" spans="1:1" x14ac:dyDescent="0.25">
      <c r="A4" t="s">
        <v>234</v>
      </c>
    </row>
    <row r="5" spans="1:1" x14ac:dyDescent="0.25">
      <c r="A5" t="s">
        <v>235</v>
      </c>
    </row>
    <row r="6" spans="1:1" x14ac:dyDescent="0.25">
      <c r="A6" t="s">
        <v>236</v>
      </c>
    </row>
    <row r="7" spans="1:1" x14ac:dyDescent="0.25">
      <c r="A7" t="s">
        <v>237</v>
      </c>
    </row>
    <row r="8" spans="1:1" x14ac:dyDescent="0.25">
      <c r="A8" t="s">
        <v>238</v>
      </c>
    </row>
    <row r="9" spans="1:1" x14ac:dyDescent="0.25">
      <c r="A9" t="s">
        <v>239</v>
      </c>
    </row>
    <row r="10" spans="1:1" x14ac:dyDescent="0.25">
      <c r="A10" t="s">
        <v>240</v>
      </c>
    </row>
    <row r="11" spans="1:1" x14ac:dyDescent="0.25">
      <c r="A11" t="s">
        <v>241</v>
      </c>
    </row>
    <row r="12" spans="1:1" x14ac:dyDescent="0.25">
      <c r="A12" t="s">
        <v>242</v>
      </c>
    </row>
    <row r="13" spans="1:1" x14ac:dyDescent="0.25">
      <c r="A13" t="s">
        <v>243</v>
      </c>
    </row>
    <row r="14" spans="1:1" x14ac:dyDescent="0.25">
      <c r="A14" t="s">
        <v>244</v>
      </c>
    </row>
    <row r="15" spans="1:1" x14ac:dyDescent="0.25">
      <c r="A15" t="s">
        <v>245</v>
      </c>
    </row>
    <row r="16" spans="1:1" x14ac:dyDescent="0.25">
      <c r="A16" t="s">
        <v>246</v>
      </c>
    </row>
    <row r="17" spans="1:1" x14ac:dyDescent="0.25">
      <c r="A17" t="s">
        <v>247</v>
      </c>
    </row>
    <row r="18" spans="1:1" x14ac:dyDescent="0.25">
      <c r="A18" t="s">
        <v>248</v>
      </c>
    </row>
    <row r="19" spans="1:1" x14ac:dyDescent="0.25">
      <c r="A19" t="s">
        <v>249</v>
      </c>
    </row>
    <row r="20" spans="1:1" x14ac:dyDescent="0.25">
      <c r="A20" t="s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opLeftCell="D1" workbookViewId="0">
      <selection activeCell="P3" sqref="P3"/>
    </sheetView>
  </sheetViews>
  <sheetFormatPr defaultRowHeight="15" x14ac:dyDescent="0.25"/>
  <cols>
    <col min="3" max="3" width="12.85546875" customWidth="1"/>
    <col min="10" max="10" width="13" customWidth="1"/>
    <col min="11" max="11" width="10.85546875" customWidth="1"/>
  </cols>
  <sheetData>
    <row r="1" spans="1:16" x14ac:dyDescent="0.25">
      <c r="E1">
        <v>16</v>
      </c>
      <c r="F1" t="s">
        <v>355</v>
      </c>
    </row>
    <row r="2" spans="1:16" x14ac:dyDescent="0.25">
      <c r="F2" t="s">
        <v>360</v>
      </c>
      <c r="I2">
        <f>F3/E1</f>
        <v>0.1875</v>
      </c>
      <c r="J2" t="s">
        <v>358</v>
      </c>
      <c r="L2" t="s">
        <v>361</v>
      </c>
      <c r="O2">
        <f>L3/E1</f>
        <v>0.3125</v>
      </c>
    </row>
    <row r="3" spans="1:16" x14ac:dyDescent="0.25">
      <c r="A3" t="s">
        <v>341</v>
      </c>
      <c r="E3" t="s">
        <v>356</v>
      </c>
      <c r="F3">
        <v>3</v>
      </c>
      <c r="G3" t="s">
        <v>357</v>
      </c>
      <c r="I3">
        <f>I2*100</f>
        <v>18.75</v>
      </c>
      <c r="J3" t="s">
        <v>359</v>
      </c>
      <c r="L3">
        <v>5</v>
      </c>
      <c r="M3" t="s">
        <v>357</v>
      </c>
      <c r="O3">
        <f>O2*100</f>
        <v>31.25</v>
      </c>
      <c r="P3" t="s">
        <v>359</v>
      </c>
    </row>
    <row r="5" spans="1:16" x14ac:dyDescent="0.25">
      <c r="G5" t="s">
        <v>348</v>
      </c>
      <c r="J5" s="84" t="s">
        <v>349</v>
      </c>
      <c r="K5" s="85"/>
      <c r="L5" s="85"/>
      <c r="M5" s="86"/>
    </row>
    <row r="6" spans="1:16" x14ac:dyDescent="0.25">
      <c r="B6" s="102" t="s">
        <v>343</v>
      </c>
      <c r="C6" s="102" t="s">
        <v>344</v>
      </c>
      <c r="D6" s="102"/>
      <c r="E6" s="102" t="s">
        <v>346</v>
      </c>
      <c r="F6" s="102"/>
      <c r="G6" s="102" t="s">
        <v>101</v>
      </c>
      <c r="H6" s="102" t="s">
        <v>102</v>
      </c>
      <c r="J6" s="87" t="s">
        <v>343</v>
      </c>
      <c r="K6" s="88" t="s">
        <v>344</v>
      </c>
      <c r="L6" s="88" t="s">
        <v>101</v>
      </c>
      <c r="M6" s="109" t="s">
        <v>102</v>
      </c>
    </row>
    <row r="7" spans="1:16" x14ac:dyDescent="0.25">
      <c r="B7" s="103"/>
      <c r="C7" s="103"/>
      <c r="D7" s="103"/>
      <c r="E7" s="103"/>
      <c r="F7" s="103"/>
      <c r="G7" s="103"/>
      <c r="H7" s="103"/>
    </row>
    <row r="8" spans="1:16" x14ac:dyDescent="0.25">
      <c r="A8" t="s">
        <v>342</v>
      </c>
      <c r="B8" s="106">
        <v>18</v>
      </c>
      <c r="C8" s="107" t="s">
        <v>345</v>
      </c>
      <c r="E8" t="s">
        <v>347</v>
      </c>
      <c r="G8">
        <v>256</v>
      </c>
      <c r="H8">
        <v>32</v>
      </c>
      <c r="J8" s="110" t="s">
        <v>345</v>
      </c>
      <c r="K8" s="60">
        <v>24</v>
      </c>
    </row>
    <row r="9" spans="1:16" x14ac:dyDescent="0.25">
      <c r="J9" s="60"/>
    </row>
    <row r="10" spans="1:16" x14ac:dyDescent="0.25">
      <c r="A10" t="s">
        <v>350</v>
      </c>
      <c r="B10" s="108">
        <v>23</v>
      </c>
      <c r="C10" s="108" t="s">
        <v>351</v>
      </c>
      <c r="E10" t="s">
        <v>347</v>
      </c>
      <c r="G10">
        <v>280</v>
      </c>
      <c r="H10">
        <v>40</v>
      </c>
      <c r="J10" s="106" t="s">
        <v>351</v>
      </c>
      <c r="K10" s="60">
        <v>34</v>
      </c>
    </row>
    <row r="11" spans="1:16" x14ac:dyDescent="0.25">
      <c r="J11" s="60"/>
    </row>
    <row r="12" spans="1:16" x14ac:dyDescent="0.25">
      <c r="A12" t="s">
        <v>352</v>
      </c>
      <c r="B12" s="106">
        <v>28</v>
      </c>
      <c r="C12" s="107" t="s">
        <v>345</v>
      </c>
      <c r="E12" t="s">
        <v>347</v>
      </c>
      <c r="G12" s="104">
        <v>384</v>
      </c>
      <c r="H12">
        <v>48</v>
      </c>
      <c r="J12" s="110" t="s">
        <v>345</v>
      </c>
      <c r="K12" s="60">
        <v>41</v>
      </c>
    </row>
    <row r="13" spans="1:16" x14ac:dyDescent="0.25">
      <c r="J13" s="60"/>
    </row>
    <row r="14" spans="1:16" x14ac:dyDescent="0.25">
      <c r="A14" t="s">
        <v>354</v>
      </c>
      <c r="B14" s="106">
        <v>32</v>
      </c>
      <c r="C14" s="106" t="s">
        <v>351</v>
      </c>
      <c r="E14" t="s">
        <v>347</v>
      </c>
      <c r="G14" s="104">
        <v>384</v>
      </c>
      <c r="H14">
        <v>48</v>
      </c>
      <c r="J14" s="106" t="s">
        <v>351</v>
      </c>
      <c r="K14" s="60">
        <v>47</v>
      </c>
    </row>
    <row r="15" spans="1:16" x14ac:dyDescent="0.25">
      <c r="J15" s="60"/>
    </row>
    <row r="16" spans="1:16" x14ac:dyDescent="0.25">
      <c r="A16" t="s">
        <v>353</v>
      </c>
      <c r="B16" s="106">
        <v>37</v>
      </c>
      <c r="C16" s="105" t="s">
        <v>351</v>
      </c>
      <c r="E16" t="s">
        <v>347</v>
      </c>
      <c r="G16">
        <v>448</v>
      </c>
      <c r="H16">
        <v>56</v>
      </c>
      <c r="J16" s="110" t="s">
        <v>345</v>
      </c>
      <c r="K16" s="60">
        <v>47</v>
      </c>
    </row>
  </sheetData>
  <pageMargins left="0.7" right="0.7" top="0.75" bottom="0.75" header="0.3" footer="0.3"/>
  <pageSetup paperSize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6"/>
  <sheetViews>
    <sheetView workbookViewId="0">
      <selection activeCell="D14" sqref="D14"/>
    </sheetView>
  </sheetViews>
  <sheetFormatPr defaultRowHeight="15" x14ac:dyDescent="0.25"/>
  <sheetData>
    <row r="2" spans="2:17" x14ac:dyDescent="0.25">
      <c r="B2" t="s">
        <v>369</v>
      </c>
      <c r="C2" t="s">
        <v>368</v>
      </c>
      <c r="D2" t="s">
        <v>367</v>
      </c>
      <c r="E2" t="s">
        <v>366</v>
      </c>
    </row>
    <row r="3" spans="2:17" x14ac:dyDescent="0.25">
      <c r="B3" t="s">
        <v>362</v>
      </c>
      <c r="C3" t="s">
        <v>363</v>
      </c>
      <c r="D3" t="s">
        <v>364</v>
      </c>
      <c r="E3" t="s">
        <v>365</v>
      </c>
    </row>
    <row r="5" spans="2:17" x14ac:dyDescent="0.25">
      <c r="D5" t="s">
        <v>376</v>
      </c>
      <c r="J5" t="s">
        <v>373</v>
      </c>
    </row>
    <row r="6" spans="2:17" x14ac:dyDescent="0.25">
      <c r="B6" t="s">
        <v>371</v>
      </c>
      <c r="D6" t="s">
        <v>370</v>
      </c>
      <c r="J6" t="s">
        <v>372</v>
      </c>
      <c r="P6" t="s">
        <v>374</v>
      </c>
      <c r="Q6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NX-AUTO</vt:lpstr>
      <vt:lpstr>MODELOS (excel)</vt:lpstr>
      <vt:lpstr>Configuration APP</vt:lpstr>
      <vt:lpstr>Label Definition</vt:lpstr>
      <vt:lpstr>Conversion</vt:lpstr>
      <vt:lpstr>ModulesMVC</vt:lpstr>
      <vt:lpstr>Logging</vt:lpstr>
      <vt:lpstr>Unicode</vt:lpstr>
      <vt:lpstr>Notas</vt:lpstr>
    </vt:vector>
  </TitlesOfParts>
  <Company>SOFTTEK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Guillermo Gomez Arellano</dc:creator>
  <cp:lastModifiedBy>Jose Guillermo Gomez Arellano</cp:lastModifiedBy>
  <cp:lastPrinted>2014-09-29T06:23:31Z</cp:lastPrinted>
  <dcterms:created xsi:type="dcterms:W3CDTF">2014-09-21T17:05:23Z</dcterms:created>
  <dcterms:modified xsi:type="dcterms:W3CDTF">2015-03-15T18:21:20Z</dcterms:modified>
</cp:coreProperties>
</file>